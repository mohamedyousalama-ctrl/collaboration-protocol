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debook" sheetId="2" state="visible" r:id="rId4"/>
    <sheet name="Incidents" sheetId="3" state="visible" r:id="rId5"/>
    <sheet name="Aggreg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<sst xmlns="http://schemas.openxmlformats.org/spreadsheetml/2006/main" count="1063" uniqueCount="671">
  <si>
    <t xml:space="preserve">CP EMPIRICAL CORPUS — INCIDENT DATABASE v1.0</t>
  </si>
  <si>
    <t xml:space="preserve">Owner: Mohamed Salama | Built: 2026-07-30 | 52 records / 7 windows</t>
  </si>
  <si>
    <t xml:space="preserve">HOW TO USE</t>
  </si>
  <si>
    <t xml:space="preserve">1. Sheet 'Incidents' holds one row per extracted incident. A-fields were pre-loaded from the extraction reports (condensed where long; full text lives in the source extract files).</t>
  </si>
  <si>
    <t xml:space="preserve">2. YELLOW columns (C0 FINAL .. C10) are researcher-only. Complete them yourself — never delegate to an LLM (Protocol Part C).</t>
  </si>
  <si>
    <t xml:space="preserve">3. 'C0 SUGGESTED' is Claude's triage proposal only. Accept or overrule it in 'C0 FINAL'. Your decision is the one that counts.</t>
  </si>
  <si>
    <t xml:space="preserve">4. Set C9=CONFIRMED only after checking the A3/A8 quotes against the real transcript (Part D rule 1). Rows left UNVERIFIED cannot enter the paper's analysis.</t>
  </si>
  <si>
    <t xml:space="preserve">5. 'Aggregates' computes headline metrics automatically from C0 FINAL + outcome fields as you fill them.</t>
  </si>
  <si>
    <t xml:space="preserve">ROW COLOR KEY (suggestion only)</t>
  </si>
  <si>
    <t xml:space="preserve">GREEN = suggested intent-interpretation event (feeds SII analysis)</t>
  </si>
  <si>
    <t xml:space="preserve">ORANGE = suggested competence/premise error (comparison class, NOT SII)</t>
  </si>
  <si>
    <t xml:space="preserve">BLUE = meta or counter-pattern record (report separately)</t>
  </si>
  <si>
    <t xml:space="preserve">STANDING RULES: No unverified quote enters analysis. Ground-truth intent (C5) has exactly one source: you.</t>
  </si>
  <si>
    <t xml:space="preserve">FIELD</t>
  </si>
  <si>
    <t xml:space="preserve">ALLOWED VALUES</t>
  </si>
  <si>
    <t xml:space="preserve">DEFINITION</t>
  </si>
  <si>
    <t xml:space="preserve">C0 FINAL — Incident class</t>
  </si>
  <si>
    <t xml:space="preserve">INTENT / COMPETENCE / PREMISE / MIXED / META</t>
  </si>
  <si>
    <t xml:space="preserve">INTENT = model chose among readings of your words. COMPETENCE = model held a false belief about facts/tech. PREMISE = required input/environment assumption failed. MIXED = both. META = extraction-about-extraction or counter-pattern record.</t>
  </si>
  <si>
    <t xml:space="preserve">C1 — IPP type</t>
  </si>
  <si>
    <t xml:space="preserve">TEMPORAL / SCOPE / DEFINITION / AUTHORITY / OUTPUT-FORM / ABSTRACTION / STANDING-INSTRUCTION / NEW:&lt;name&gt;</t>
  </si>
  <si>
    <t xml:space="preserve">Original CP taxonomy + STANDING-INSTRUCTION (new class from this corpus: instructions that must re-fire at every occurrence but decay into one-time).</t>
  </si>
  <si>
    <t xml:space="preserve">C2 — Materiality</t>
  </si>
  <si>
    <t xml:space="preserve">MATERIAL / TRIVIAL</t>
  </si>
  <si>
    <t xml:space="preserve">Semantic Materiality Proxy: would the readings lead to substantially different outcomes?</t>
  </si>
  <si>
    <t xml:space="preserve">C3 — Context Factor</t>
  </si>
  <si>
    <t xml:space="preserve">1.0 / 1.25 / 1.5</t>
  </si>
  <si>
    <t xml:space="preserve">1.0 no relevant prior context; 1.25 weak/stale; 1.5 conflicting (per paper Eq., based on A12).</t>
  </si>
  <si>
    <t xml:space="preserve">C4 — Effective ICD</t>
  </si>
  <si>
    <t xml:space="preserve">0.0 - 1.0</t>
  </si>
  <si>
    <t xml:space="preserve">How much resolution authority you had implicitly delegated at that moment.</t>
  </si>
  <si>
    <t xml:space="preserve">C5 — Ground-truth intent</t>
  </si>
  <si>
    <t xml:space="preserve">free text</t>
  </si>
  <si>
    <t xml:space="preserve">What you actually meant. Only you may write this.</t>
  </si>
  <si>
    <t xml:space="preserve">C6 — Cost estimate</t>
  </si>
  <si>
    <t xml:space="preserve">free text (min/hrs, restarts, LoC)</t>
  </si>
  <si>
    <t xml:space="preserve">Observable + your estimate.</t>
  </si>
  <si>
    <t xml:space="preserve">C7 — Hypothesis relevance</t>
  </si>
  <si>
    <t xml:space="preserve">H1 / H2 / ICD / OTHER</t>
  </si>
  <si>
    <t xml:space="preserve">H1 prevalence, H2 awareness gap, ICD effect.</t>
  </si>
  <si>
    <t xml:space="preserve">C8 — Benchmark candidate</t>
  </si>
  <si>
    <t xml:space="preserve">YES / NO</t>
  </si>
  <si>
    <t xml:space="preserve">Convertible into an IFI-Bench item?</t>
  </si>
  <si>
    <t xml:space="preserve">C9 — Validation</t>
  </si>
  <si>
    <t xml:space="preserve">CONFIRMED / UNVERIFIED</t>
  </si>
  <si>
    <t xml:space="preserve">CONFIRMED only after quote check vs transcript.</t>
  </si>
  <si>
    <t xml:space="preserve">C10 — Notes</t>
  </si>
  <si>
    <t xml:space="preserve">Anything else.</t>
  </si>
  <si>
    <t xml:space="preserve">Resolution style</t>
  </si>
  <si>
    <t xml:space="preserve">ASKED / SILENT / DISCLOSED-PROCEED / DISCLOSED-WAIT</t>
  </si>
  <si>
    <t xml:space="preserve">New middle category discovered in corpus (AUD INC-017, W38 INC-007).</t>
  </si>
  <si>
    <t xml:space="preserve">Outcome</t>
  </si>
  <si>
    <t xml:space="preserve">HARMFUL / BENIGN / UNRESOLVED</t>
  </si>
  <si>
    <t xml:space="preserve">BENIGN = silent inference never corrected &amp; later validated — keep these, they are the base rate.</t>
  </si>
  <si>
    <t xml:space="preserve">Recurrence link</t>
  </si>
  <si>
    <t xml:space="preserve">Global IDs</t>
  </si>
  <si>
    <t xml:space="preserve">Cross-window repeats (e.g., stale-base cluster).</t>
  </si>
  <si>
    <t xml:space="preserve">GID</t>
  </si>
  <si>
    <t xml:space="preserve">Window</t>
  </si>
  <si>
    <t xml:space="preserve">Local ID</t>
  </si>
  <si>
    <t xml:space="preserve">A1 Location</t>
  </si>
  <si>
    <t xml:space="preserve">A2 Task context</t>
  </si>
  <si>
    <t xml:space="preserve">A3 User words (verbatim, may be trimmed)</t>
  </si>
  <si>
    <t xml:space="preserve">A5 Interpretation chosen</t>
  </si>
  <si>
    <t xml:space="preserve">A6 Asked?</t>
  </si>
  <si>
    <t xml:space="preserve">A7 Assumption</t>
  </si>
  <si>
    <t xml:space="preserve">A8 Mismatch signal</t>
  </si>
  <si>
    <t xml:space="preserve">A9 Turns to detect</t>
  </si>
  <si>
    <t xml:space="preserve">A10 Consequence</t>
  </si>
  <si>
    <t xml:space="preserve">A11 Resolution</t>
  </si>
  <si>
    <t xml:space="preserve">A12 Prior context</t>
  </si>
  <si>
    <t xml:space="preserve">A13 Conf.</t>
  </si>
  <si>
    <t xml:space="preserve">C0 SUGGESTED</t>
  </si>
  <si>
    <t xml:space="preserve">Outcome (sugg.)</t>
  </si>
  <si>
    <t xml:space="preserve">C0 FINAL</t>
  </si>
  <si>
    <t xml:space="preserve">C1 IPP type</t>
  </si>
  <si>
    <t xml:space="preserve">C2 Materiality</t>
  </si>
  <si>
    <t xml:space="preserve">C3 CF</t>
  </si>
  <si>
    <t xml:space="preserve">C4 ICD</t>
  </si>
  <si>
    <t xml:space="preserve">C5 Ground-truth intent</t>
  </si>
  <si>
    <t xml:space="preserve">C6 Cost</t>
  </si>
  <si>
    <t xml:space="preserve">C7 Hyp</t>
  </si>
  <si>
    <t xml:space="preserve">C8 Bench</t>
  </si>
  <si>
    <t xml:space="preserve">C9 Valid</t>
  </si>
  <si>
    <t xml:space="preserve">C10 Notes</t>
  </si>
  <si>
    <t xml:space="preserve">GPT-001</t>
  </si>
  <si>
    <t xml:space="preserve">GPT</t>
  </si>
  <si>
    <t xml:space="preserve">001</t>
  </si>
  <si>
    <t xml:space="preserve">early middle; after PR#557 merged</t>
  </si>
  <si>
    <t xml:space="preserve">Coordinating builder &amp; auditor windows post-merge</t>
  </si>
  <si>
    <t xml:space="preserve">done, please be sure we are following the roadmap strictly and we never leave anything behind without solving, I do not need any errors in my project</t>
  </si>
  <si>
    <t xml:space="preserve">Generated new next-task dispatch to builder while builder was occupied</t>
  </si>
  <si>
    <t xml:space="preserve">NO</t>
  </si>
  <si>
    <t xml:space="preserve">SILENT</t>
  </si>
  <si>
    <t xml:space="preserve">Builder window assumed free; standing governance instruction treated as immediate dispatch authority</t>
  </si>
  <si>
    <t xml:space="preserve">but the builder is working on (KIVO-BUILDER-CLAUDE WO-GOV-PR557-POSTMERGE-METADATA…</t>
  </si>
  <si>
    <t xml:space="preserve">1</t>
  </si>
  <si>
    <t xml:space="preserve">Duplicate/conflicting assignment avoided only by user intervention; sequence stopped</t>
  </si>
  <si>
    <t xml:space="preserve">User re-explained both windows busy; task held</t>
  </si>
  <si>
    <t xml:space="preserve">Repeated references to 'the 2 only working windows'</t>
  </si>
  <si>
    <t xml:space="preserve">HIGH</t>
  </si>
  <si>
    <t xml:space="preserve">INTENT</t>
  </si>
  <si>
    <t xml:space="preserve">HARMFUL</t>
  </si>
  <si>
    <t xml:space="preserve">GPT-002</t>
  </si>
  <si>
    <t xml:space="preserve">002</t>
  </si>
  <si>
    <t xml:space="preserve">middle; post-PR#558 status</t>
  </si>
  <si>
    <t xml:space="preserve">Consolidated roadmap/backlog status from both windows</t>
  </si>
  <si>
    <t xml:space="preserve">both windows are working, where we are now on the roadmap and what we still have in the backlog list</t>
  </si>
  <si>
    <t xml:space="preserve">Addressed one window's reply; second attached reply ignored</t>
  </si>
  <si>
    <t xml:space="preserve">Most recent handback treated as complete evidence set</t>
  </si>
  <si>
    <t xml:space="preserve">read my last message again it has the 2 windows replies, not one… never skip a word… never skip files</t>
  </si>
  <si>
    <t xml:space="preserve">Status incomplete; had to be redone; user added standing rule</t>
  </si>
  <si>
    <t xml:space="preserve">Reread required incl. both attachments</t>
  </si>
  <si>
    <t xml:space="preserve">Numbered status lines showed both streams material</t>
  </si>
  <si>
    <t xml:space="preserve">GPT-003</t>
  </si>
  <si>
    <t xml:space="preserve">003</t>
  </si>
  <si>
    <t xml:space="preserve">middle; SCOPE006 transport &amp; PR#559 sequencing</t>
  </si>
  <si>
    <t xml:space="preserve">Deciding what to send to auditor now vs later</t>
  </si>
  <si>
    <t xml:space="preserve">1. I did not the builder message yet, please confirm 2. the auditor reply is attached</t>
  </si>
  <si>
    <t xml:space="preserve">Multi-step reply mixing send-now and send-later without clear boundary</t>
  </si>
  <si>
    <t xml:space="preserve">User would infer dependency order himself</t>
  </si>
  <si>
    <t xml:space="preserve">I do not understand my tasks in your last message, please explain in simple way…</t>
  </si>
  <si>
    <t xml:space="preserve">User paused before sending; ambiguity resurfaced next turn</t>
  </si>
  <si>
    <t xml:space="preserve">Sequence separated into immediate vs dependent message</t>
  </si>
  <si>
    <t xml:space="preserve">Window availability was recoverable from context</t>
  </si>
  <si>
    <t xml:space="preserve">GPT-004</t>
  </si>
  <si>
    <t xml:space="preserve">004</t>
  </si>
  <si>
    <t xml:space="preserve">late middle; vendor questions</t>
  </si>
  <si>
    <t xml:space="preserve">Backlog + questions for candidate tech companies</t>
  </si>
  <si>
    <t xml:space="preserve">…1. what is the lowest ai cost/conversation 2. what is the best… way to build our ai system… 3. you decide what other questions I have to ask them</t>
  </si>
  <si>
    <t xml:space="preserve">Produced comprehensive 53-question due-diligence pack</t>
  </si>
  <si>
    <t xml:space="preserve">User wanted full procurement questionnaire, not short screening list</t>
  </si>
  <si>
    <t xml:space="preserve">summarize these 5 to the most important urgent 5 questions, becasue this company does not have the git yet…</t>
  </si>
  <si>
    <t xml:space="preserve">Long output condensed to 5 questions + project brief added</t>
  </si>
  <si>
    <t xml:space="preserve">User redefined output as 5-question pre-Git doc</t>
  </si>
  <si>
    <t xml:space="preserve">No max count stated; Git-access fact only in correction</t>
  </si>
  <si>
    <t xml:space="preserve">GPT-005</t>
  </si>
  <si>
    <t xml:space="preserve">005</t>
  </si>
  <si>
    <t xml:space="preserve">near end; one-page partner PDF</t>
  </si>
  <si>
    <t xml:space="preserve">Convert brief + 5 questions to single-page PDF</t>
  </si>
  <si>
    <t xml:space="preserve">good , make them short and put the 5 questions with the brief in one page pdf</t>
  </si>
  <si>
    <t xml:space="preserve">PDF reused stale scope (WhatsApp+cash/COD) without revalidating against Saudi investor scope</t>
  </si>
  <si>
    <t xml:space="preserve">Earlier governed V1 scope assumed still correct for new investor brief</t>
  </si>
  <si>
    <t xml:space="preserve">mistakes 1. payment is by visa and Apple Pay, this project for Saudi only… 2. ass what finished and what not finished</t>
  </si>
  <si>
    <t xml:space="preserve">PDF unusable; repo rechecked; bilingual replacement built</t>
  </si>
  <si>
    <t xml:space="preserve">User supplied corrected ground truth; output replaced</t>
  </si>
  <si>
    <t xml:space="preserve">Prior context pointed in conflicting directions (V1 vs investor scope)</t>
  </si>
  <si>
    <t xml:space="preserve">AUD-001</t>
  </si>
  <si>
    <t xml:space="preserve">AUD</t>
  </si>
  <si>
    <t xml:space="preserve">beginning; turn 2/26</t>
  </si>
  <si>
    <t xml:space="preserve">Emission of Rev 10 of KV-D06 secure-control spec</t>
  </si>
  <si>
    <t xml:space="preserve">Revision 10 is REJECTED… The following source-written columns do NOT exist in production… Do not silently add these columns…</t>
  </si>
  <si>
    <t xml:space="preserve">Source-declared columns treated as live schema (a)</t>
  </si>
  <si>
    <t xml:space="preserve">Deployed-source columns assumed present in production; grant matrix derivable without catalog check</t>
  </si>
  <si>
    <t xml:space="preserve">Revision 10 is REJECTED.</t>
  </si>
  <si>
    <t xml:space="preserve">Whole-doc rewrite: Rev10 (41,891B/709L) → Rev11 (86,186B/1,344L)</t>
  </si>
  <si>
    <t xml:space="preserve">12-point correction list; full new revision</t>
  </si>
  <si>
    <t xml:space="preserve">NOT OBSERVABLE (design pre-dates window)</t>
  </si>
  <si>
    <t xml:space="preserve">MEDIUM</t>
  </si>
  <si>
    <t xml:space="preserve">COMPETENCE</t>
  </si>
  <si>
    <t xml:space="preserve">AUD-002</t>
  </si>
  <si>
    <t xml:space="preserve">early middle; turn 3/26</t>
  </si>
  <si>
    <t xml:space="preserve">Rev 11 ruling — no-op contradiction</t>
  </si>
  <si>
    <t xml:space="preserve">Section 8.11 says create_safety_conversation has no D6 no-op, while §17 CASE 1 and PR6 require a no-op… Choose one binding rule…</t>
  </si>
  <si>
    <t xml:space="preserve">Per-operation exemption coexisting with universal rule (a)</t>
  </si>
  <si>
    <t xml:space="preserve">Local exemptions could coexist with universal decision order without reconciliation</t>
  </si>
  <si>
    <t xml:space="preserve">Revision 11 is rejected by KIVO-PM.</t>
  </si>
  <si>
    <t xml:space="preserve">Whole-doc rewrite Rev11 → Rev12 (119,116B/1,796L)</t>
  </si>
  <si>
    <t xml:space="preserve">11-point correction list; new revision</t>
  </si>
  <si>
    <t xml:space="preserve">NONE</t>
  </si>
  <si>
    <t xml:space="preserve">AUD-003</t>
  </si>
  <si>
    <t xml:space="preserve">early middle; turn 3 item 2</t>
  </si>
  <si>
    <t xml:space="preserve">Same correction order — SQL uniqueness</t>
  </si>
  <si>
    <t xml:space="preserve">UNIQUE (...) WHERE ... is not a table constraint. Specify it as a named partial unique index…</t>
  </si>
  <si>
    <t xml:space="preserve">Treated predicated UNIQUE as valid table-constraint syntax (a)</t>
  </si>
  <si>
    <t xml:space="preserve">Constraint and index interchangeable for conflict targeting</t>
  </si>
  <si>
    <t xml:space="preserve">UNIQUE (...) WHERE ... is not a table constraint.</t>
  </si>
  <si>
    <t xml:space="preserve">A3-2 mechanism replaced; dependent proofs rewritten</t>
  </si>
  <si>
    <t xml:space="preserve">User specified correct mechanism; adopted</t>
  </si>
  <si>
    <t xml:space="preserve">AUD-004</t>
  </si>
  <si>
    <t xml:space="preserve">early middle; turn 4/26</t>
  </si>
  <si>
    <t xml:space="preserve">Transport of Rev 12 artefact</t>
  </si>
  <si>
    <t xml:space="preserve">The received transfer is missing exactly 80 lines and 80 bytes. It therefore cannot be cleared.</t>
  </si>
  <si>
    <t xml:space="preserve">Assumed inline chat rendering is byte-preserving (a)</t>
  </si>
  <si>
    <t xml:space="preserve">Delivery channel preserves bytes so pre-output digest holds</t>
  </si>
  <si>
    <t xml:space="preserve">The received transfer is missing exactly 80 lines and 80 bytes…</t>
  </si>
  <si>
    <t xml:space="preserve">Artefact not clearable; transport-only WO consumed a full exchange; file attachments mandated</t>
  </si>
  <si>
    <t xml:space="preserve">WO-XFER-KVD06-REV12-001 issued</t>
  </si>
  <si>
    <t xml:space="preserve">PREMISE</t>
  </si>
  <si>
    <t xml:space="preserve">AUD-005</t>
  </si>
  <si>
    <t xml:space="preserve">middle; turn 5 item 1</t>
  </si>
  <si>
    <t xml:space="preserve">Diagnosis of Rev 12 transport loss</t>
  </si>
  <si>
    <t xml:space="preserve">The inline transfer did not lose only 80 empty lines… Withdraw the claim that no content line or character was altered…</t>
  </si>
  <si>
    <t xml:space="preserve">80/80 delta assumed explainable only by blank lines (a)</t>
  </si>
  <si>
    <t xml:space="preserve">Matching arithmetic proves content identity; only one explanation exists</t>
  </si>
  <si>
    <t xml:space="preserve">Withdraw the claim…</t>
  </si>
  <si>
    <t xml:space="preserve">Two published claims withdrawn; TR1–TR4 transport rules adopted; digest-over-file only thereafter</t>
  </si>
  <si>
    <t xml:space="preserve">Withdrawal + replacement rule</t>
  </si>
  <si>
    <t xml:space="preserve">Turn 4 gave the triples; did not say blank-line-only</t>
  </si>
  <si>
    <t xml:space="preserve">AUD-006</t>
  </si>
  <si>
    <t xml:space="preserve">006</t>
  </si>
  <si>
    <t xml:space="preserve">middle; turn 5 item 7</t>
  </si>
  <si>
    <t xml:space="preserve">System-actor rule verification</t>
  </si>
  <si>
    <t xml:space="preserve">…a direct postgres catalog session returns NULL. That does not prove what the production service-role PostgREST/RPC request returns…</t>
  </si>
  <si>
    <t xml:space="preserve">Catalog-session observation generalized to service-role path (a)</t>
  </si>
  <si>
    <t xml:space="preserve">Observation in one execution context generalizes to another</t>
  </si>
  <si>
    <t xml:space="preserve">That does not prove what the production service-role…returns.</t>
  </si>
  <si>
    <t xml:space="preserve">Rule demoted to unproven; SA2/SA3/SA6 + blocker B-10 created; VP-1 unexecuted</t>
  </si>
  <si>
    <t xml:space="preserve">Retained as blocker</t>
  </si>
  <si>
    <t xml:space="preserve">AUD-007</t>
  </si>
  <si>
    <t xml:space="preserve">007</t>
  </si>
  <si>
    <t xml:space="preserve">middle; turn 5 item 10</t>
  </si>
  <si>
    <t xml:space="preserve">F19 sweep concurrency</t>
  </si>
  <si>
    <t xml:space="preserve">F19 takes a blocking tenant advisory lock and also claims concurrent same-tenant sweeps never block. Both cannot be true…</t>
  </si>
  <si>
    <t xml:space="preserve">Blocking lock treated as compatible with non-blocking claim (a)</t>
  </si>
  <si>
    <t xml:space="preserve">Mechanism statement and behaviour claim authored independently without cross-check</t>
  </si>
  <si>
    <t xml:space="preserve">Both cannot be true.</t>
  </si>
  <si>
    <t xml:space="preserve">Lock model respecified; L4/X4/X7 + proofs rewritten</t>
  </si>
  <si>
    <t xml:space="preserve">User named alternatives; one adopted</t>
  </si>
  <si>
    <t xml:space="preserve">AUD-008</t>
  </si>
  <si>
    <t xml:space="preserve">008</t>
  </si>
  <si>
    <t xml:space="preserve">middle; turn 5 item 11</t>
  </si>
  <si>
    <t xml:space="preserve">A3 alert-intent structure</t>
  </si>
  <si>
    <t xml:space="preserve">A3 records only realert intent. It does not: deliver an alert… Do not describe the operational alert contract as complete while B-7 and B-8 remain open.</t>
  </si>
  <si>
    <t xml:space="preserve">Specifying data structure treated as specifying capability (a)</t>
  </si>
  <si>
    <t xml:space="preserve">Record-keeping design discharges the operational capability it records</t>
  </si>
  <si>
    <t xml:space="preserve">Do not describe the operational alert contract as complete…</t>
  </si>
  <si>
    <t xml:space="preserve">Contract split from structure; B-7/B-8 held open; became AD-3 + PM ruling 5</t>
  </si>
  <si>
    <t xml:space="preserve">Completeness description forbidden; separation adopted</t>
  </si>
  <si>
    <t xml:space="preserve">AUD-009</t>
  </si>
  <si>
    <t xml:space="preserve">009</t>
  </si>
  <si>
    <t xml:space="preserve">middle; turn 6 item 1</t>
  </si>
  <si>
    <t xml:space="preserve">Rev 13 rollout staging — 'additive'</t>
  </si>
  <si>
    <t xml:space="preserve">Do not call a stage additive if it revokes permissions, transfers ownership, forces security, backfills existing rows, or drops triggers.</t>
  </si>
  <si>
    <t xml:space="preserve">'Additive' read as net-effect adds capability (a)</t>
  </si>
  <si>
    <t xml:space="preserve">Stage labelled additive may contain revocations/drops because overall purpose adds control plane</t>
  </si>
  <si>
    <t xml:space="preserve">Do not call a stage additive if…</t>
  </si>
  <si>
    <t xml:space="preserve">Rollout restaged M-0…M-9 with AD1–AD4; Rev13 → Rev14</t>
  </si>
  <si>
    <t xml:space="preserve">User gave definitional test; staging rebuilt</t>
  </si>
  <si>
    <t xml:space="preserve">NONE — 'additive' never defined earlier</t>
  </si>
  <si>
    <t xml:space="preserve">AUD-010</t>
  </si>
  <si>
    <t xml:space="preserve">010</t>
  </si>
  <si>
    <t xml:space="preserve">middle; turn 6 item 4</t>
  </si>
  <si>
    <t xml:space="preserve">B-11 member-identity framing</t>
  </si>
  <si>
    <t xml:space="preserve">Replace the B-11 false two-choice framing. Evaluate at least: immutable membership identity/version records; insert-time identity validation…; restrictive composite foreign keys.</t>
  </si>
  <si>
    <t xml:space="preserve">Problem reduced to binary business choice (a)</t>
  </si>
  <si>
    <t xml:space="preserve">Solution space contained exactly two options; choice was founder's decision</t>
  </si>
  <si>
    <t xml:space="preserve">Replace the B-11 false two-choice framing.</t>
  </si>
  <si>
    <t xml:space="preserve">Dichotomy withdrawn as modelling failure; 3 options evaluated; Option A adopted; B-11 reduced to governance approval</t>
  </si>
  <si>
    <t xml:space="preserve">User named alternatives; framing replaced</t>
  </si>
  <si>
    <t xml:space="preserve">AUD-011</t>
  </si>
  <si>
    <t xml:space="preserve">011</t>
  </si>
  <si>
    <t xml:space="preserve">middle; turn 6 item 7</t>
  </si>
  <si>
    <t xml:space="preserve">Evidence-preservation wording</t>
  </si>
  <si>
    <t xml:space="preserve">Existing A1 rows cannot be byte-identical after new fields are added and populated. State precisely which pre-existing columns remain unchanged…</t>
  </si>
  <si>
    <t xml:space="preserve">'Byte-identical' used for rows with untouched existing values (a)</t>
  </si>
  <si>
    <t xml:space="preserve">'Byte-identical' could mean 'existing values preserved'</t>
  </si>
  <si>
    <t xml:space="preserve">Existing A1 rows cannot be byte-identical…</t>
  </si>
  <si>
    <t xml:space="preserve">Claim replaced by column-level statement (11 preserved / 4 populated / 4 NULL)</t>
  </si>
  <si>
    <t xml:space="preserve">Wording corrected to scoped form</t>
  </si>
  <si>
    <t xml:space="preserve">DEFINITION→INTENT</t>
  </si>
  <si>
    <t xml:space="preserve">AUD-012</t>
  </si>
  <si>
    <t xml:space="preserve">012</t>
  </si>
  <si>
    <t xml:space="preserve">late middle; turns 7→8</t>
  </si>
  <si>
    <t xml:space="preserve">First audit of SCOPE006 evidence report</t>
  </si>
  <si>
    <t xml:space="preserve">Independently audit the exact SCOPE006.md artefact: SHA-256:…365 … Verify all three fingerprint values before content review.</t>
  </si>
  <si>
    <t xml:space="preserve">Returned BLOCKED — no file supplied (c)</t>
  </si>
  <si>
    <t xml:space="preserve">Absence of retrievable artefact itself the reportable outcome</t>
  </si>
  <si>
    <t xml:space="preserve">The exact SCOPE006.md file is attached. (user supplying input)</t>
  </si>
  <si>
    <t xml:space="preserve">One exchange consumed; audit completed next turn</t>
  </si>
  <si>
    <t xml:space="preserve">WO re-sent with file + Resume instruction</t>
  </si>
  <si>
    <t xml:space="preserve">Turn 7 had no attachment reference</t>
  </si>
  <si>
    <t xml:space="preserve">BENIGN</t>
  </si>
  <si>
    <t xml:space="preserve">AUD-013</t>
  </si>
  <si>
    <t xml:space="preserve">013</t>
  </si>
  <si>
    <t xml:space="preserve">late middle; turn 10 item 9</t>
  </si>
  <si>
    <t xml:space="preserve">SCOPE007 writer-inventory reconciliation</t>
  </si>
  <si>
    <t xml:space="preserve">Specifically reconcile your previous 35-line observation with the builder's 31-row DML inventory. Do not approve until the difference is completely explained.</t>
  </si>
  <si>
    <t xml:space="preserve">grep -A6 context lines counted as DML sites (a) → 35</t>
  </si>
  <si>
    <t xml:space="preserve">Context-window lines map 1:1 to mutating sites; counting method need not be published</t>
  </si>
  <si>
    <t xml:space="preserve">Do not approve until the difference is completely explained.</t>
  </si>
  <si>
    <t xml:space="preserve">NOT OBSERVABLE</t>
  </si>
  <si>
    <t xml:space="preserve">Full re-derivation; second count error (47 via rg -n) fixed with --count-matches; 35 withdrawn; builder's 31 upheld</t>
  </si>
  <si>
    <t xml:space="preserve">Approval withheld until explained</t>
  </si>
  <si>
    <t xml:space="preserve">Builder's artefact showed the correct reproducible method</t>
  </si>
  <si>
    <t xml:space="preserve">AUD-014</t>
  </si>
  <si>
    <t xml:space="preserve">014</t>
  </si>
  <si>
    <t xml:space="preserve">late middle; turns 21→22</t>
  </si>
  <si>
    <t xml:space="preserve">Audit of PR #560</t>
  </si>
  <si>
    <t xml:space="preserve">Clearance may apply only to exact head: b21e2fae… Any later push voids clearance…</t>
  </si>
  <si>
    <t xml:space="preserve">Audited the pinned head; no re-check that head was current (a)</t>
  </si>
  <si>
    <t xml:space="preserve">Pin assumed still current; fetch-time match needs no re-check before verdict</t>
  </si>
  <si>
    <t xml:space="preserve">Your last reply repeated the previous audit of rejected head… It did not audit the corrected PR head.</t>
  </si>
  <si>
    <t xml:space="preserve">Entire first audit discarded; ref deleted/re-fetched; full audit duplicated on a2f761a7…</t>
  </si>
  <si>
    <t xml:space="preserve">Transport/head-correction order; full re-execution</t>
  </si>
  <si>
    <t xml:space="preserve">Pin named twice; wording contemplated movement but no re-check instruction</t>
  </si>
  <si>
    <t xml:space="preserve">AUD-014↔stale-base cluster (temporal currency)</t>
  </si>
  <si>
    <t xml:space="preserve">AUD-015</t>
  </si>
  <si>
    <t xml:space="preserve">015</t>
  </si>
  <si>
    <t xml:space="preserve">late middle; turn 21 req 8+14</t>
  </si>
  <si>
    <t xml:space="preserve">Verdict threshold on PR #560</t>
  </si>
  <si>
    <t xml:space="preserve">Return APPROVE only if all requirements pass and no contradiction, omission… remains. Separate optional stylistic preferences from actual defects…</t>
  </si>
  <si>
    <t xml:space="preserve">Strict absolute-bar reading chosen; REJECT issued (a)</t>
  </si>
  <si>
    <t xml:space="preserve">'No omission remains' = absolute bar; founder wanted stricter reading without confirmation</t>
  </si>
  <si>
    <t xml:space="preserve">NOT OBSERVABLE — no mismatch surfaced; corrections implemented and re-audit ordered</t>
  </si>
  <si>
    <t xml:space="preserve">N/A</t>
  </si>
  <si>
    <t xml:space="preserve">One correction commit (+4/−1); one re-audit cycle; nothing discarded</t>
  </si>
  <si>
    <t xml:space="preserve">Implicit acceptance via corrections + re-audit</t>
  </si>
  <si>
    <t xml:space="preserve">SCOPE012 audit had surfaced this same threshold question; never answered</t>
  </si>
  <si>
    <t xml:space="preserve">AUD-015↔AUD-022 (surfaced-then-silent decay)</t>
  </si>
  <si>
    <t xml:space="preserve">AUD-016</t>
  </si>
  <si>
    <t xml:space="preserve">016</t>
  </si>
  <si>
    <t xml:space="preserve">end; turns 23→24</t>
  </si>
  <si>
    <t xml:space="preserve">Audit of SCOPE013</t>
  </si>
  <si>
    <t xml:space="preserve">SCOPE013.md is attached. Audit it independently and read the complete file.</t>
  </si>
  <si>
    <t xml:space="preserve">Returned BLOCKED — digest matched no delivered file (b)</t>
  </si>
  <si>
    <t xml:space="preserve">Stated digest sole identity test; no substitute file acceptable</t>
  </si>
  <si>
    <t xml:space="preserve">SCOPE013.md is attached to this message as a file… Do not treat any predecessor file as SCOPE013…</t>
  </si>
  <si>
    <t xml:space="preserve">Re-sent with genuine attachment + two prohibitions</t>
  </si>
  <si>
    <t xml:space="preserve">Identical precedent at turns 7→8 (SCOPE006)</t>
  </si>
  <si>
    <t xml:space="preserve">AUD-012↔AUD-016 (repeat premise failure)</t>
  </si>
  <si>
    <t xml:space="preserve">AUD-017</t>
  </si>
  <si>
    <t xml:space="preserve">017</t>
  </si>
  <si>
    <t xml:space="preserve">end; turn 20 req 3</t>
  </si>
  <si>
    <t xml:space="preserve">SCOPE012 diff statistics</t>
  </si>
  <si>
    <t xml:space="preserve">Confirm the complete diff contains exactly four hunks, 13 removed lines and 27 added lines.</t>
  </si>
  <si>
    <t xml:space="preserve">Computed BOTH readings (30 total / 27 non-blank) and disclosed which matched</t>
  </si>
  <si>
    <t xml:space="preserve">DISCLOSED-PROCEED</t>
  </si>
  <si>
    <t xml:space="preserve">Reporting both readings + discriminator acceptable substitute for asking</t>
  </si>
  <si>
    <t xml:space="preserve">NOT OBSERVABLE — accepted; convention reused by user in later WOs</t>
  </si>
  <si>
    <t xml:space="preserve">None</t>
  </si>
  <si>
    <t xml:space="preserve">User adopted the convention in turn 23</t>
  </si>
  <si>
    <t xml:space="preserve">SCOPE011 order had same phrasing; convention pre-established</t>
  </si>
  <si>
    <t xml:space="preserve">LOW</t>
  </si>
  <si>
    <t xml:space="preserve">AUD-017↔W38-007 (resolution-by-disclosure)</t>
  </si>
  <si>
    <t xml:space="preserve">AUD-018</t>
  </si>
  <si>
    <t xml:space="preserve">018</t>
  </si>
  <si>
    <t xml:space="preserve">end; turn 26 (live)</t>
  </si>
  <si>
    <t xml:space="preserve">Performing this extraction</t>
  </si>
  <si>
    <t xml:space="preserve">Go through our entire conversation… Report ONLY what is observable in the transcript. Quote the exact words.</t>
  </si>
  <si>
    <t xml:space="preserve">Retrieved raw transcript from disk for verbatim quotes (b)</t>
  </si>
  <si>
    <t xml:space="preserve">'The transcript' = session record on disk, not retained context</t>
  </si>
  <si>
    <t xml:space="preserve">NOT OBSERVABLE — live</t>
  </si>
  <si>
    <t xml:space="preserve">26 human turns recovered verbatim; INC-001..013 quotes direct</t>
  </si>
  <si>
    <t xml:space="preserve">Unresolved</t>
  </si>
  <si>
    <t xml:space="preserve">Compaction notice pointed to transcript path</t>
  </si>
  <si>
    <t xml:space="preserve">META</t>
  </si>
  <si>
    <t xml:space="preserve">AUD-018↔CDX-005 (self-referential extraction)</t>
  </si>
  <si>
    <t xml:space="preserve">AUD-019</t>
  </si>
  <si>
    <t xml:space="preserve">019</t>
  </si>
  <si>
    <t xml:space="preserve">Role framing for extraction</t>
  </si>
  <si>
    <t xml:space="preserve">You are acting as a neutral court reporter, NOT as an analyst…</t>
  </si>
  <si>
    <t xml:space="preserve">KIVO-AUDITOR header retained (b)</t>
  </si>
  <si>
    <t xml:space="preserve">Header governs formatting, survives role change</t>
  </si>
  <si>
    <t xml:space="preserve">25 consecutive prior replies used the header</t>
  </si>
  <si>
    <t xml:space="preserve">AUD-020</t>
  </si>
  <si>
    <t xml:space="preserve">020</t>
  </si>
  <si>
    <t xml:space="preserve">end; turn 25 §2–3 (live)</t>
  </si>
  <si>
    <t xml:space="preserve">Executing probe VP-1 in authorized preflight</t>
  </si>
  <si>
    <t xml:space="preserve">Allowed:… a read-only HTTP GET through the genuine PostgREST service-role path if required for VP-1… If no existing read-only surface can expose auth.uid()… return VP-1: BLOCKED… Do not create one.</t>
  </si>
  <si>
    <t xml:space="preserve">GET permitted only if existing surface exposes auth.uid(); searched catalog, none found, no request attempted (b)</t>
  </si>
  <si>
    <t xml:space="preserve">Allowance conditional on pre-existing surface; constructing request = 'creating one'; service-role credential impermissible</t>
  </si>
  <si>
    <t xml:space="preserve">NOT OBSERVABLE — unanswered</t>
  </si>
  <si>
    <t xml:space="preserve">VP-1 BLOCKED; B-10 open; SA2 unproven; migration drafting still blocked</t>
  </si>
  <si>
    <t xml:space="preserve">Two exit options described for founder</t>
  </si>
  <si>
    <t xml:space="preserve">INC-006 precedent + §3 repetition pointed to (b)</t>
  </si>
  <si>
    <t xml:space="preserve">UNRESOLVED</t>
  </si>
  <si>
    <t xml:space="preserve">AUD-021</t>
  </si>
  <si>
    <t xml:space="preserve">021</t>
  </si>
  <si>
    <t xml:space="preserve">end; turn 25 §2 (live)</t>
  </si>
  <si>
    <t xml:space="preserve">Preflight prohibited-function rule</t>
  </si>
  <si>
    <t xml:space="preserve">Prohibited:… calling any user-defined function or RPC unless its complete production definition is first inspected and it is mechanically proven non-mutating</t>
  </si>
  <si>
    <t xml:space="preserve">auth.uid()/auth.role() treated as built-ins; called then inspected (b)</t>
  </si>
  <si>
    <t xml:space="preserve">Platform 'auth' schema helpers outside 'user-defined'; inspection may follow call</t>
  </si>
  <si>
    <t xml:space="preserve">Self-detected &amp; disclosed within same reply ('the order deviated from §2's stated sequence and I am recording it')</t>
  </si>
  <si>
    <t xml:space="preserve">0</t>
  </si>
  <si>
    <t xml:space="preserve">None; retroactive inspection confirmed non-mutating</t>
  </si>
  <si>
    <t xml:space="preserve">Self-disclosed; unaddressed</t>
  </si>
  <si>
    <t xml:space="preserve">§2 also banned temp objects/DDL (observed); ambiguity confined to 'user-defined'</t>
  </si>
  <si>
    <t xml:space="preserve">AUD-022</t>
  </si>
  <si>
    <t xml:space="preserve">022</t>
  </si>
  <si>
    <t xml:space="preserve">late middle; turn 18</t>
  </si>
  <si>
    <t xml:space="preserve">Counter-pattern record — SCOPE010/011 audits</t>
  </si>
  <si>
    <t xml:space="preserve">Confirm O-D is fully disclosed (five sub-conditions)</t>
  </si>
  <si>
    <t xml:space="preserve">Three ambiguities surfaced explicitly as alternatives instead of silent resolution</t>
  </si>
  <si>
    <t xml:space="preserve">ASKED/DISCLOSED</t>
  </si>
  <si>
    <t xml:space="preserve">N/A — inverse pattern</t>
  </si>
  <si>
    <t xml:space="preserve">None arose</t>
  </si>
  <si>
    <t xml:space="preserve">No rework; builder's next revision adopted surfaced readings</t>
  </si>
  <si>
    <t xml:space="preserve">Adopted readings; zero rework</t>
  </si>
  <si>
    <t xml:space="preserve">Pattern begins after AUD-005 correction</t>
  </si>
  <si>
    <t xml:space="preserve">AUD-005→AUD-022 (post-correction adaptation)</t>
  </si>
  <si>
    <t xml:space="preserve">CDX-001</t>
  </si>
  <si>
    <t xml:space="preserve">CDX</t>
  </si>
  <si>
    <t xml:space="preserve">beginning; WO-QTY setup</t>
  </si>
  <si>
    <t xml:space="preserve">Implement WO-QTY fix on branch off latest main</t>
  </si>
  <si>
    <t xml:space="preserve">Branch: wo-qty off latest main (3326580). git config user.email…user.name…</t>
  </si>
  <si>
    <t xml:space="preserve">Fresh clone created at work/MaitreAI; branch from origin/main</t>
  </si>
  <si>
    <t xml:space="preserve">Cloning fresh acceptable vs using pre-existing checkout</t>
  </si>
  <si>
    <t xml:space="preserve">(self) The given workspace folder itself is just the Codex container, not the repo root…</t>
  </si>
  <si>
    <t xml:space="preserve">Fresh clone; no user-visible rework</t>
  </si>
  <si>
    <t xml:space="preserve">Task continued from clone</t>
  </si>
  <si>
    <t xml:space="preserve">cwd path in environment context</t>
  </si>
  <si>
    <t xml:space="preserve">CDX-002</t>
  </si>
  <si>
    <t xml:space="preserve">early; proof planning</t>
  </si>
  <si>
    <t xml:space="preserve">Add proof-typed-quantity + reruns</t>
  </si>
  <si>
    <t xml:space="preserve">PROOFS: new proof-typed-quantity (≥10: tap 3; type ٢; type تلاتة; non-numeric passes through; no pending question passes through; flag OFF byte-identical)…</t>
  </si>
  <si>
    <t xml:space="preserve">Focused pure-check proof with source assertions; 27 assertions</t>
  </si>
  <si>
    <t xml:space="preserve">Pure checks + source assertions satisfy 'proof' requirement</t>
  </si>
  <si>
    <t xml:space="preserve">N/O</t>
  </si>
  <si>
    <t xml:space="preserve">Proof added; no correction visible</t>
  </si>
  <si>
    <t xml:space="preserve">Proof passed; reported</t>
  </si>
  <si>
    <t xml:space="preserve">Assistant pre-stated the plan</t>
  </si>
  <si>
    <t xml:space="preserve">CDX-003</t>
  </si>
  <si>
    <t xml:space="preserve">early middle; typed rail</t>
  </si>
  <si>
    <t xml:space="preserve">Deterministic quantity buttons + typed replies</t>
  </si>
  <si>
    <t xml:space="preserve">2. Agent-generated quantity buttons: register their ids in the typed rail (lib/messaging/typed-actions.ts) so taps route deterministically.</t>
  </si>
  <si>
    <t xml:space="preserve">Existing qty:N ids treated as already emitted; handling added in rail only</t>
  </si>
  <si>
    <t xml:space="preserve">No separate change needed in button-generation tool</t>
  </si>
  <si>
    <t xml:space="preserve">No visible mismatch</t>
  </si>
  <si>
    <t xml:space="preserve">Completed; proofs reported</t>
  </si>
  <si>
    <t xml:space="preserve">Assistant status noted existing handler + live gap</t>
  </si>
  <si>
    <t xml:space="preserve">CDX-004</t>
  </si>
  <si>
    <t xml:space="preserve">end; handback</t>
  </si>
  <si>
    <t xml:space="preserve">Commit + handback</t>
  </si>
  <si>
    <t xml:space="preserve">HANDBACK: SHA + proof counts. NOT MERGED.</t>
  </si>
  <si>
    <t xml:space="preserve">Committed locally AND pushed origin/wo-qty unmerged</t>
  </si>
  <si>
    <t xml:space="preserve">'NOT MERGED' permits pushing a remote handoff branch</t>
  </si>
  <si>
    <t xml:space="preserve">Remote branch created; no PR/merge</t>
  </si>
  <si>
    <t xml:space="preserve">Handback reported pushed unmerged state</t>
  </si>
  <si>
    <t xml:space="preserve">Assistant pre-stated push intent</t>
  </si>
  <si>
    <t xml:space="preserve">CDX-005</t>
  </si>
  <si>
    <t xml:space="preserve">end; protocol request</t>
  </si>
  <si>
    <t xml:space="preserve">Acting on attached IPP protocol</t>
  </si>
  <si>
    <t xml:space="preserve">The attached pasted text file(s) contain the user's request. Read and act on that content.</t>
  </si>
  <si>
    <t xml:space="preserve">Applied protocol to current Codex thread; saved outputs/extract_codex_w1_2026-07-30.md</t>
  </si>
  <si>
    <t xml:space="preserve">Intended window = current thread; saving file part of 'act'</t>
  </si>
  <si>
    <t xml:space="preserve">Extraction file created</t>
  </si>
  <si>
    <t xml:space="preserve">Protocol text pointed both ways (open each window / save per naming)</t>
  </si>
  <si>
    <t xml:space="preserve">CDX-005↔AUD-018</t>
  </si>
  <si>
    <t xml:space="preserve">W38-001</t>
  </si>
  <si>
    <t xml:space="preserve">W38</t>
  </si>
  <si>
    <t xml:space="preserve">beginning; WO-PROOF-3 handback prep</t>
  </si>
  <si>
    <t xml:space="preserve">Safety-repro branch prepared for push</t>
  </si>
  <si>
    <t xml:space="preserve">Rebase before every push and verify — git fetch origin &amp;&amp; git rebase origin/main, then git diff --name-status origin/main must show only files under scripts/, with zero D lines.</t>
  </si>
  <si>
    <t xml:space="preserve">Work remained based on f7882c1 while main advanced to c38c6b6…</t>
  </si>
  <si>
    <t xml:space="preserve">Pinned implementation revision sufficient working base after main advanced</t>
  </si>
  <si>
    <t xml:space="preserve">Do not open a PR — your branch has a stale base and would delete merged work… three R0 files as deletions…</t>
  </si>
  <si>
    <t xml:space="preserve">~1 cycle</t>
  </si>
  <si>
    <t xml:space="preserve">PR stopped; rebase + reverify + push; no deletion merged</t>
  </si>
  <si>
    <t xml:space="preserve">User re-explained base + guard; rebased to c38c6b6</t>
  </si>
  <si>
    <t xml:space="preserve">'Four stale-base incidents…would each have deleted a day of merged work'</t>
  </si>
  <si>
    <t xml:space="preserve">STALE-BASE cluster: W38-001,W39-001,KPF-001</t>
  </si>
  <si>
    <t xml:space="preserve">W38-002</t>
  </si>
  <si>
    <t xml:space="preserve">beginning→end; WO-PROOF-3</t>
  </si>
  <si>
    <t xml:space="preserve">Intentionally failing safety suite</t>
  </si>
  <si>
    <t xml:space="preserve">Your job is to reproduce all three as failing tests. You are not fixing them. A test that fails is the deliverable.</t>
  </si>
  <si>
    <t xml:space="preserve">Red suite kept out of default test/CI commands; explicit invocation only</t>
  </si>
  <si>
    <t xml:space="preserve">Red suite should not poison default execution</t>
  </si>
  <si>
    <t xml:space="preserve">None; PM later verified default CI does not execute it</t>
  </si>
  <si>
    <t xml:space="preserve">PM verified agent-eval.yml uses path only as filter</t>
  </si>
  <si>
    <t xml:space="preserve">WO named the path; silent on default discovery</t>
  </si>
  <si>
    <t xml:space="preserve">W38-003</t>
  </si>
  <si>
    <t xml:space="preserve">early middle; C-04 scope</t>
  </si>
  <si>
    <t xml:space="preserve">Coalesced-burst disclosure finding</t>
  </si>
  <si>
    <t xml:space="preserve">C-04 — a disclosure inside a coalesced message burst can be dropped when inbound_coalescing is on.</t>
  </si>
  <si>
    <t xml:space="preserve">Ordinary two-text reproduction treated as disproving entire finding</t>
  </si>
  <si>
    <t xml:space="preserve">Specified ordinary burst representative of whole C-04 class</t>
  </si>
  <si>
    <t xml:space="preserve">But the auditor has ruled that disproving the ordinary case does not withdraw the finding…</t>
  </si>
  <si>
    <t xml:space="preserve">~1</t>
  </si>
  <si>
    <t xml:space="preserve">Second WO; 7 burst shapes tested; claim narrowed; ownership loss reassigned to C-02</t>
  </si>
  <si>
    <t xml:space="preserve">Scope re-explained; 7 cases run; narrowed recommendation accepted</t>
  </si>
  <si>
    <t xml:space="preserve">User had also written 'Your C-04 finding is correct and the audit was wrong'</t>
  </si>
  <si>
    <t xml:space="preserve">W38-004</t>
  </si>
  <si>
    <t xml:space="preserve">middle; WO-PROOF-4</t>
  </si>
  <si>
    <t xml:space="preserve">Seven auditor-named burst shapes</t>
  </si>
  <si>
    <t xml:space="preserve">This work order tests the seven the auditor named. If they all pass, C-04 is withdrawn…</t>
  </si>
  <si>
    <t xml:space="preserve">Separate file scripts/proof-c04-dispute.test.ts created</t>
  </si>
  <si>
    <t xml:space="preserve">Seven cases belong in one new dedicated file with chosen name</t>
  </si>
  <si>
    <t xml:space="preserve">One scripts-only file added; accepted</t>
  </si>
  <si>
    <t xml:space="preserve">Later msgs accepted; only fixture/labels corrected</t>
  </si>
  <si>
    <t xml:space="preserve">Earlier WO named other file; PROOF-4 silent on filename</t>
  </si>
  <si>
    <t xml:space="preserve">W38-005</t>
  </si>
  <si>
    <t xml:space="preserve">late middle; fixture provenance</t>
  </si>
  <si>
    <t xml:space="preserve">Shared production flag-vector fixture</t>
  </si>
  <si>
    <t xml:space="preserve">Build a shared flag-vector fixture that mirrors the real tenant exactly, and use it in every test.</t>
  </si>
  <si>
    <t xml:space="preserve">Fixture = full vector + date comment; no timestamp/hash</t>
  </si>
  <si>
    <t xml:space="preserve">Exact content + human-readable date sufficient provenance</t>
  </si>
  <si>
    <t xml:space="preserve">The fixture needs a hash, not only a date… capture timestamp and a hash… so drift can be detected mechanically…</t>
  </si>
  <si>
    <t xml:space="preserve">Fixture edited: timestamp, canonicalization, SHA-256, frozen hash, integrity assertions</t>
  </si>
  <si>
    <t xml:space="preserve">Provenance requirement re-explained; conditionally approved</t>
  </si>
  <si>
    <t xml:space="preserve">WO said 'continue using your captured production fixture'; silent on hashing</t>
  </si>
  <si>
    <t xml:space="preserve">W38-006</t>
  </si>
  <si>
    <t xml:space="preserve">beginning→end; defect labeling</t>
  </si>
  <si>
    <t xml:space="preserve">Red assertions distinguishable from spec</t>
  </si>
  <si>
    <t xml:space="preserve">If no durable disclosure is recorded and no alert is raised, the test asserts that — and is marked as reproducing the defect</t>
  </si>
  <si>
    <t xml:space="preserve">Assertion names + EXPECTED RED footer used instead of adjacent greppable labels</t>
  </si>
  <si>
    <t xml:space="preserve">Names + suite-level footer sufficient marking</t>
  </si>
  <si>
    <t xml:space="preserve">Defect assertions must be explicitly labelled as current broken behaviour… Every assertion…needs a comment on or beside it…</t>
  </si>
  <si>
    <t xml:space="preserve">~2 cycles</t>
  </si>
  <si>
    <t xml:space="preserve">5 labels added; second correction; 3 more labels; extra commit+push</t>
  </si>
  <si>
    <t xml:space="preserve">Exact label text dictated; applied</t>
  </si>
  <si>
    <t xml:space="preserve">'marked as reproducing the defect' / 'greppable' / 'consistency is cheap'</t>
  </si>
  <si>
    <t xml:space="preserve">W38-007</t>
  </si>
  <si>
    <t xml:space="preserve">late middle; fixture hash work</t>
  </si>
  <si>
    <t xml:space="preserve">Capture timestamp for frozen fixture</t>
  </si>
  <si>
    <t xml:space="preserve">The auditor requires a capture timestamp and a hash of the captured flag vector</t>
  </si>
  <si>
    <t xml:space="preserve">Original fixture commit time recorded as capture instant, with explicit note</t>
  </si>
  <si>
    <t xml:space="preserve">Commit timestamp acceptable proxy for unavailable DB-read instant</t>
  </si>
  <si>
    <t xml:space="preserve">Commit-derived timestamp used; no later correction</t>
  </si>
  <si>
    <t xml:space="preserve">Later msg: only labeling correction remained</t>
  </si>
  <si>
    <t xml:space="preserve">Assistant pre-stated the proxy; user did not answer before edit</t>
  </si>
  <si>
    <t xml:space="preserve">AUD-017↔W38-007 (disclosure)</t>
  </si>
  <si>
    <t xml:space="preserve">W38-008</t>
  </si>
  <si>
    <t xml:space="preserve">late middle; validation runs</t>
  </si>
  <si>
    <t xml:space="preserve">tsc + build for handback</t>
  </si>
  <si>
    <t xml:space="preserve">npx tsc --noEmit and npm run build results</t>
  </si>
  <si>
    <t xml:space="preserve">First tsc + next build run concurrently</t>
  </si>
  <si>
    <t xml:space="preserve">tsc could safely read .next/types during regeneration</t>
  </si>
  <si>
    <t xml:space="preserve">(self) The first TypeScript invocation collided with the simultaneous Next build…</t>
  </si>
  <si>
    <t xml:space="preserve">0 (same turn)</t>
  </si>
  <si>
    <t xml:space="preserve">TS6053 transient errors; rerun sequential; no code change</t>
  </si>
  <si>
    <t xml:space="preserve">Sequential rerun; clean results reported</t>
  </si>
  <si>
    <t xml:space="preserve">W39-001</t>
  </si>
  <si>
    <t xml:space="preserve">W39</t>
  </si>
  <si>
    <t xml:space="preserve">early middle; pre-WO-ENG-3</t>
  </si>
  <si>
    <t xml:space="preserve">Allergen engine branch prepared for push</t>
  </si>
  <si>
    <t xml:space="preserve">Rebase immediately before every push, and verify… The output must show only files in your territory, with zero deletions. If anything else appears, stop and report it — do not push.</t>
  </si>
  <si>
    <t xml:space="preserve">Branch left on stale base; merged files showed as deletions</t>
  </si>
  <si>
    <t xml:space="preserve">Existing base treated as sufficiently current</t>
  </si>
  <si>
    <t xml:space="preserve">Do not open a PR — stale base. main advanced after you branched (WO-PROOF-1 merged…). Your diff shows both as deletions, which would erase them.</t>
  </si>
  <si>
    <t xml:space="preserve">PR stopped; fetch+rebase+recheck+force-with-lease</t>
  </si>
  <si>
    <t xml:space="preserve">Exact commands supplied; new SHA handed back</t>
  </si>
  <si>
    <t xml:space="preserve">'a stale branch previously came close to deleting a full day of merged work'</t>
  </si>
  <si>
    <t xml:space="preserve">STALE-BASE cluster</t>
  </si>
  <si>
    <t xml:space="preserve">W39-002</t>
  </si>
  <si>
    <t xml:space="preserve">middle; E0 proof cycle</t>
  </si>
  <si>
    <t xml:space="preserve">Flag values before fixture existed</t>
  </si>
  <si>
    <t xml:space="preserve">NOT OBSERVABLE — original E0 WO text not retained</t>
  </si>
  <si>
    <t xml:space="preserve">Local flag approximations used in E0 proof</t>
  </si>
  <si>
    <t xml:space="preserve">Locally specified flags acceptable stand-in for production config</t>
  </si>
  <si>
    <t xml:space="preserve">The auditor has ruled that local flag approximations are no longer acceptable…</t>
  </si>
  <si>
    <t xml:space="preserve">Rebase; consume committed fixture; rerun acceptance proofs</t>
  </si>
  <si>
    <t xml:space="preserve">Fixture imported; named per-test overrides</t>
  </si>
  <si>
    <t xml:space="preserve">'The flag fixture is merged. Rebase E0 and consume it.'</t>
  </si>
  <si>
    <t xml:space="preserve">W39-003</t>
  </si>
  <si>
    <t xml:space="preserve">late middle; VERIFY-FIX→FIX-2</t>
  </si>
  <si>
    <t xml:space="preserve">Rollback-only verification script corrections</t>
  </si>
  <si>
    <t xml:space="preserve">This is not a design task. Six call sites are wrong. Correct only those. Add nothing.</t>
  </si>
  <si>
    <t xml:space="preserve">Only six expressions changed; five other live-contract defects not flagged</t>
  </si>
  <si>
    <t xml:space="preserve">Values/keys outside the six expressions outside verification boundary</t>
  </si>
  <si>
    <t xml:space="preserve">The PM has accepted the raw catalog capture and approved this dispatch. Five corrections are specified below…</t>
  </si>
  <si>
    <t xml:space="preserve">~3 exchanges</t>
  </si>
  <si>
    <t xml:space="preserve">Second correction WO; fresh transfer branch; earlier branch preserved as evidence</t>
  </si>
  <si>
    <t xml:space="preserve">Five exact corrections applied; extra mismatches reported unchanged</t>
  </si>
  <si>
    <t xml:space="preserve">Same order also said 'Verify every argument against the identity signatures above'</t>
  </si>
  <si>
    <t xml:space="preserve">W39-004</t>
  </si>
  <si>
    <t xml:space="preserve">late middle; artefact delivery</t>
  </si>
  <si>
    <t xml:space="preserve">Corrected SQL to PM for verification</t>
  </si>
  <si>
    <t xml:space="preserve">1. The complete corrected file</t>
  </si>
  <si>
    <t xml:space="preserve">Local outputs file + link treated as delivery</t>
  </si>
  <si>
    <t xml:space="preserve">Local clickable path sufficient transfer to PM</t>
  </si>
  <si>
    <t xml:space="preserve">Five upload attempts failed… The PM has ruled that the file must reach it through the repository as a transport envelope…</t>
  </si>
  <si>
    <t xml:space="preserve">5 failed transfers; clean worktree; non-mergeable transport branch; blob-hash check; push</t>
  </si>
  <si>
    <t xml:space="preserve">Committed at prescribed path on transfer/e0-verification-…; 3-item packet sent</t>
  </si>
  <si>
    <t xml:space="preserve">No transport channel specified</t>
  </si>
  <si>
    <t xml:space="preserve">AUD-004↔W39-004 (transport premise)</t>
  </si>
  <si>
    <t xml:space="preserve">W39-005</t>
  </si>
  <si>
    <t xml:space="preserve">late middle; bare attachment</t>
  </si>
  <si>
    <t xml:space="preserve">SQL file attached with empty request label</t>
  </si>
  <si>
    <t xml:space="preserve">My request for Codex:</t>
  </si>
  <si>
    <t xml:space="preserve">Hashed + compared read-only; no edit made</t>
  </si>
  <si>
    <t xml:space="preserve">Safest action = identify/compare rather than correct/transfer</t>
  </si>
  <si>
    <t xml:space="preserve">No file edited/executed</t>
  </si>
  <si>
    <t xml:space="preserve">Next msg supplied explicit transfer procedure</t>
  </si>
  <si>
    <t xml:space="preserve">Preceding handback identified corrected artefact + SHA</t>
  </si>
  <si>
    <t xml:space="preserve">W39-006</t>
  </si>
  <si>
    <t xml:space="preserve">late middle; transport of artefact</t>
  </si>
  <si>
    <t xml:space="preserve">Three-item PM packet rule</t>
  </si>
  <si>
    <t xml:space="preserve">Send the PM only three things: the branch name, the commit SHA, and the repository path. Nothing else — no summary, no diff, no commentary.</t>
  </si>
  <si>
    <t xml:space="preserve">Progress commentary during task; final packet exactly 3 lines</t>
  </si>
  <si>
    <t xml:space="preserve">Restriction applies to final handback only</t>
  </si>
  <si>
    <t xml:space="preserve">None; final response = 3 lines</t>
  </si>
  <si>
    <t xml:space="preserve">No later resolution</t>
  </si>
  <si>
    <t xml:space="preserve">W39-007</t>
  </si>
  <si>
    <t xml:space="preserve">late middle; B1–B9 block</t>
  </si>
  <si>
    <t xml:space="preserve">Nine catalog/parent-row SQL queries supplied</t>
  </si>
  <si>
    <t xml:space="preserve">-- B1. Function contracts</t>
  </si>
  <si>
    <t xml:space="preserve">Queries executed read-only against production; results summarized</t>
  </si>
  <si>
    <t xml:space="preserve">Supplying SQL without imperative = authorization to execute against production</t>
  </si>
  <si>
    <t xml:space="preserve">Production catalog metadata + 2-row tenant count read; no mutation</t>
  </si>
  <si>
    <t xml:space="preserve">'The PM has accepted the raw catalog capture and approved this dispatch.'</t>
  </si>
  <si>
    <t xml:space="preserve">Execution permissions had varied by WO</t>
  </si>
  <si>
    <t xml:space="preserve">AUTHORITY: content-as-command; cf. Klear FIN-C</t>
  </si>
  <si>
    <t xml:space="preserve">KBD-001</t>
  </si>
  <si>
    <t xml:space="preserve">KBD</t>
  </si>
  <si>
    <t xml:space="preserve">early; brew install</t>
  </si>
  <si>
    <t xml:space="preserve">Install GitHub CLI via Homebrew</t>
  </si>
  <si>
    <t xml:space="preserve">If Homebrew is available, install GitHub CLI: brew install gh</t>
  </si>
  <si>
    <t xml:space="preserve">Proceeded with authorization not covering Homebrew log dir</t>
  </si>
  <si>
    <t xml:space="preserve">Approved paths covered all writes brew needs</t>
  </si>
  <si>
    <t xml:space="preserve">Error: The following directories are not writable by your user: /Users/…/Library/Logs/Homebrew</t>
  </si>
  <si>
    <t xml:space="preserve">Install stopped; permission diagnosis; second narrow attempt</t>
  </si>
  <si>
    <t xml:space="preserve">Retried after new approval; sandbox cause named</t>
  </si>
  <si>
    <t xml:space="preserve">KBD-002</t>
  </si>
  <si>
    <t xml:space="preserve">early middle; gh auth</t>
  </si>
  <si>
    <t xml:space="preserve">Browser auth; wait for Mohamed</t>
  </si>
  <si>
    <t xml:space="preserve">Stop while Mohamed completes the GitHub browser authorization.</t>
  </si>
  <si>
    <t xml:space="preserve">Relied on command output to expose one-time code; code not shown to user</t>
  </si>
  <si>
    <t xml:space="preserve">User could see the device code in tool/terminal output</t>
  </si>
  <si>
    <t xml:space="preserve">where is the code</t>
  </si>
  <si>
    <t xml:space="preserve">Authorization paused; code requested</t>
  </si>
  <si>
    <t xml:space="preserve">Code supplied; auth continued</t>
  </si>
  <si>
    <t xml:space="preserve">'Use browser authentication'</t>
  </si>
  <si>
    <t xml:space="preserve">KBD-003</t>
  </si>
  <si>
    <t xml:space="preserve">middle; config storage</t>
  </si>
  <si>
    <t xml:space="preserve">Retain gh config outside workspace</t>
  </si>
  <si>
    <t xml:space="preserve">Then request approval for the interactive authentication command: gh auth login…</t>
  </si>
  <si>
    <t xml:space="preserve">Child path approval requested; parent .config not created/authorized first</t>
  </si>
  <si>
    <t xml:space="preserve">Child-path authorization sufficient to create missing parent</t>
  </si>
  <si>
    <t xml:space="preserve">mkdir /Users/…/.config: operation not permitted</t>
  </si>
  <si>
    <t xml:space="preserve">Auth completed but not retained; new mkdir approval + repeat auth needed</t>
  </si>
  <si>
    <t xml:space="preserve">Revised instruction: mkdir -p …/.config/gh; flow repeated</t>
  </si>
  <si>
    <t xml:space="preserve">'Use macOS Keychain/native secure storage if prompted'</t>
  </si>
  <si>
    <t xml:space="preserve">KBD-004</t>
  </si>
  <si>
    <t xml:space="preserve">late; WO-DOC-K2 Rev 3</t>
  </si>
  <si>
    <t xml:space="preserve">One commit + one DRAFT PR</t>
  </si>
  <si>
    <t xml:space="preserve">Make one commit and open one DRAFT PR.</t>
  </si>
  <si>
    <t xml:space="preserve">Local gh CLI auth treated as prerequisite; stopped on gh auth status failure</t>
  </si>
  <si>
    <t xml:space="preserve">WO required CLI auth though it specified outcome, not transport</t>
  </si>
  <si>
    <t xml:space="preserve">KIVO-PM — corrected transport instruction: GitHub CLI authentication is no longer a prerequisite…</t>
  </si>
  <si>
    <t xml:space="preserve">~5 exchanges</t>
  </si>
  <si>
    <t xml:space="preserve">WO stalled pre-preconditions; repeated auth retries; connector-only correction; no edit discarded</t>
  </si>
  <si>
    <t xml:space="preserve">'No GitHub CLI retry is authorized.' Connector used; branch+commit+draft PR created</t>
  </si>
  <si>
    <t xml:space="preserve">Plugin reference in context</t>
  </si>
  <si>
    <t xml:space="preserve">LONGEST awareness gap (means-vs-outcome)</t>
  </si>
  <si>
    <t xml:space="preserve">KPF-001</t>
  </si>
  <si>
    <t xml:space="preserve">KPF</t>
  </si>
  <si>
    <t xml:space="preserve">early middle; pre-WO-PROOF-2</t>
  </si>
  <si>
    <t xml:space="preserve">KIVO-PROOF branch under strict rebase/no-PR rules</t>
  </si>
  <si>
    <t xml:space="preserve">Rebase immediately before every push, and verify… The output must show only files in your territory, with zero deletions.</t>
  </si>
  <si>
    <t xml:space="preserve">Branch not kept current vs latest origin/main before handoff</t>
  </si>
  <si>
    <t xml:space="preserve">Existing base/prior verification remained valid after main advanced</t>
  </si>
  <si>
    <t xml:space="preserve">Do not open a PR — your branch has a stale base. main advanced after you branched (WO-ENG-1 merged…). A diff…shows that file as a deletion, which would erase it.</t>
  </si>
  <si>
    <t xml:space="preserve">PR path stopped; rebase + re-verification; deletion caught pre-merge</t>
  </si>
  <si>
    <t xml:space="preserve">Rebase sequence re-explained; force-with-lease only after clean verify</t>
  </si>
  <si>
    <t xml:space="preserve">'Never open a pull request and never merge. Push your branch only.'</t>
  </si>
  <si>
    <t xml:space="preserve">METRIC</t>
  </si>
  <si>
    <t xml:space="preserve">FORMULA RESULT</t>
  </si>
  <si>
    <t xml:space="preserve">NOTE</t>
  </si>
  <si>
    <t xml:space="preserve">Total records</t>
  </si>
  <si>
    <t xml:space="preserve">Confirmed (C9)</t>
  </si>
  <si>
    <t xml:space="preserve">Only these enter the paper</t>
  </si>
  <si>
    <t xml:space="preserve">C0 FINAL = INTENT</t>
  </si>
  <si>
    <t xml:space="preserve">SII analysis set</t>
  </si>
  <si>
    <t xml:space="preserve">C0 FINAL = COMPETENCE</t>
  </si>
  <si>
    <t xml:space="preserve">Comparison class</t>
  </si>
  <si>
    <t xml:space="preserve">C0 FINAL = PREMISE</t>
  </si>
  <si>
    <t xml:space="preserve">C0 FINAL = META</t>
  </si>
  <si>
    <t xml:space="preserve">Report separately</t>
  </si>
  <si>
    <t xml:space="preserve">Silent (A6=NO) among INTENT</t>
  </si>
  <si>
    <t xml:space="preserve">Numerator of silent-inference rate</t>
  </si>
  <si>
    <t xml:space="preserve">Disclosure-style resolutions</t>
  </si>
  <si>
    <t xml:space="preserve">Third resolution strategy</t>
  </si>
  <si>
    <t xml:space="preserve">Benign outcomes (suggested)</t>
  </si>
  <si>
    <t xml:space="preserve">Base-rate honesty</t>
  </si>
  <si>
    <t xml:space="preserve">Harmful outcomes (suggested)</t>
  </si>
  <si>
    <t xml:space="preserve">Material (C2)</t>
  </si>
  <si>
    <t xml:space="preserve">Fill C2 first</t>
  </si>
  <si>
    <t xml:space="preserve">Benchmark candidates (C8)</t>
  </si>
  <si>
    <t xml:space="preserve">Feeds IFI-Bench v0.1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</si>
</sst>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</row>
    <row r="2" customFormat="false" ht="35.05" hidden="false" customHeight="false" outlineLevel="0" collapsed="false">
      <c r="A2" s="6" t="s">
        <v>16</v>
      </c>
      <c r="B2" s="6" t="s">
        <v>17</v>
      </c>
      <c r="C2" s="6" t="s">
        <v>18</v>
      </c>
    </row>
    <row r="3" customFormat="false" ht="35.05" hidden="false" customHeight="false" outlineLevel="0" collapsed="false">
      <c r="A3" s="6" t="s">
        <v>19</v>
      </c>
      <c r="B3" s="6" t="s">
        <v>20</v>
      </c>
      <c r="C3" s="6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</row>
    <row r="5" customFormat="false" ht="15" hidden="false" customHeight="false" outlineLevel="0" collapsed="false">
      <c r="A5" s="6" t="s">
        <v>25</v>
      </c>
      <c r="B5" s="6" t="s">
        <v>26</v>
      </c>
      <c r="C5" s="6" t="s">
        <v>27</v>
      </c>
    </row>
    <row r="6" customFormat="false" ht="15" hidden="false" customHeight="false" outlineLevel="0" collapsed="false">
      <c r="A6" s="6" t="s">
        <v>28</v>
      </c>
      <c r="B6" s="6" t="s">
        <v>29</v>
      </c>
      <c r="C6" s="6" t="s">
        <v>30</v>
      </c>
    </row>
    <row r="7" customFormat="false" ht="15" hidden="false" customHeight="false" outlineLevel="0" collapsed="false">
      <c r="A7" s="6" t="s">
        <v>31</v>
      </c>
      <c r="B7" s="6" t="s">
        <v>32</v>
      </c>
      <c r="C7" s="6" t="s">
        <v>33</v>
      </c>
    </row>
    <row r="8" customFormat="false" ht="15" hidden="false" customHeight="false" outlineLevel="0" collapsed="false">
      <c r="A8" s="6" t="s">
        <v>34</v>
      </c>
      <c r="B8" s="6" t="s">
        <v>35</v>
      </c>
      <c r="C8" s="6" t="s">
        <v>36</v>
      </c>
    </row>
    <row r="9" customFormat="false" ht="15" hidden="false" customHeight="false" outlineLevel="0" collapsed="false">
      <c r="A9" s="6" t="s">
        <v>37</v>
      </c>
      <c r="B9" s="6" t="s">
        <v>38</v>
      </c>
      <c r="C9" s="6" t="s">
        <v>39</v>
      </c>
    </row>
    <row r="10" customFormat="false" ht="15" hidden="false" customHeight="false" outlineLevel="0" collapsed="false">
      <c r="A10" s="6" t="s">
        <v>40</v>
      </c>
      <c r="B10" s="6" t="s">
        <v>41</v>
      </c>
      <c r="C10" s="6" t="s">
        <v>42</v>
      </c>
    </row>
    <row r="11" customFormat="false" ht="15" hidden="false" customHeight="false" outlineLevel="0" collapsed="false">
      <c r="A11" s="6" t="s">
        <v>43</v>
      </c>
      <c r="B11" s="6" t="s">
        <v>44</v>
      </c>
      <c r="C11" s="6" t="s">
        <v>45</v>
      </c>
    </row>
    <row r="12" customFormat="false" ht="15" hidden="false" customHeight="false" outlineLevel="0" collapsed="false">
      <c r="A12" s="6" t="s">
        <v>46</v>
      </c>
      <c r="B12" s="6" t="s">
        <v>32</v>
      </c>
      <c r="C12" s="6" t="s">
        <v>47</v>
      </c>
    </row>
    <row r="13" customFormat="false" ht="23.85" hidden="false" customHeight="false" outlineLevel="0" collapsed="false">
      <c r="A13" s="6" t="s">
        <v>48</v>
      </c>
      <c r="B13" s="6" t="s">
        <v>49</v>
      </c>
      <c r="C13" s="6" t="s">
        <v>50</v>
      </c>
    </row>
    <row r="14" customFormat="false" ht="15" hidden="false" customHeight="false" outlineLevel="0" collapsed="false">
      <c r="A14" s="6" t="s">
        <v>51</v>
      </c>
      <c r="B14" s="6" t="s">
        <v>52</v>
      </c>
      <c r="C14" s="6" t="s">
        <v>53</v>
      </c>
    </row>
    <row r="15" customFormat="false" ht="15" hidden="false" customHeight="false" outlineLevel="0" collapsed="false">
      <c r="A15" s="6" t="s">
        <v>54</v>
      </c>
      <c r="B15" s="6" t="s">
        <v>55</v>
      </c>
      <c r="C15" s="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8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46"/>
    <col collapsed="false" customWidth="true" hidden="false" outlineLevel="0" max="7" min="7" style="0" width="36"/>
    <col collapsed="false" customWidth="true" hidden="false" outlineLevel="0" max="8" min="8" style="0" width="8"/>
    <col collapsed="false" customWidth="true" hidden="false" outlineLevel="0" max="9" min="9" style="0" width="16"/>
    <col collapsed="false" customWidth="true" hidden="false" outlineLevel="0" max="10" min="10" style="0" width="34"/>
    <col collapsed="false" customWidth="true" hidden="false" outlineLevel="0" max="11" min="11" style="0" width="36"/>
    <col collapsed="false" customWidth="true" hidden="false" outlineLevel="0" max="12" min="12" style="0" width="10"/>
    <col collapsed="false" customWidth="true" hidden="false" outlineLevel="0" max="13" min="13" style="0" width="34"/>
    <col collapsed="false" customWidth="true" hidden="false" outlineLevel="0" max="15" min="14" style="0" width="30"/>
    <col collapsed="false" customWidth="true" hidden="false" outlineLevel="0" max="16" min="16" style="0" width="8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26"/>
    <col collapsed="false" customWidth="true" hidden="false" outlineLevel="0" max="20" min="20" style="0" width="12"/>
    <col collapsed="false" customWidth="true" hidden="false" outlineLevel="0" max="21" min="21" style="0" width="20"/>
    <col collapsed="false" customWidth="true" hidden="false" outlineLevel="0" max="22" min="22" style="0" width="12"/>
    <col collapsed="false" customWidth="true" hidden="false" outlineLevel="0" max="24" min="23" style="0" width="6"/>
    <col collapsed="false" customWidth="true" hidden="false" outlineLevel="0" max="25" min="25" style="0" width="30"/>
    <col collapsed="false" customWidth="true" hidden="false" outlineLevel="0" max="26" min="26" style="0" width="18"/>
    <col collapsed="false" customWidth="true" hidden="false" outlineLevel="0" max="28" min="27" style="0" width="8"/>
    <col collapsed="false" customWidth="true" hidden="false" outlineLevel="0" max="29" min="29" style="0" width="12"/>
    <col collapsed="false" customWidth="true" hidden="false" outlineLevel="0" max="30" min="30" style="0" width="30"/>
  </cols>
  <sheetData>
    <row r="1" customFormat="false" ht="23.85" hidden="false" customHeight="false" outlineLevel="0" collapsed="false">
      <c r="A1" s="5" t="s">
        <v>57</v>
      </c>
      <c r="B1" s="5" t="s">
        <v>58</v>
      </c>
      <c r="C1" s="5" t="s">
        <v>59</v>
      </c>
      <c r="D1" s="5" t="s">
        <v>60</v>
      </c>
      <c r="E1" s="5" t="s">
        <v>61</v>
      </c>
      <c r="F1" s="5" t="s">
        <v>62</v>
      </c>
      <c r="G1" s="5" t="s">
        <v>63</v>
      </c>
      <c r="H1" s="5" t="s">
        <v>64</v>
      </c>
      <c r="I1" s="5" t="s">
        <v>48</v>
      </c>
      <c r="J1" s="5" t="s">
        <v>65</v>
      </c>
      <c r="K1" s="5" t="s">
        <v>66</v>
      </c>
      <c r="L1" s="5" t="s">
        <v>67</v>
      </c>
      <c r="M1" s="5" t="s">
        <v>68</v>
      </c>
      <c r="N1" s="5" t="s">
        <v>69</v>
      </c>
      <c r="O1" s="5" t="s">
        <v>70</v>
      </c>
      <c r="P1" s="5" t="s">
        <v>71</v>
      </c>
      <c r="Q1" s="5" t="s">
        <v>72</v>
      </c>
      <c r="R1" s="5" t="s">
        <v>73</v>
      </c>
      <c r="S1" s="5" t="s">
        <v>54</v>
      </c>
      <c r="T1" s="5" t="s">
        <v>74</v>
      </c>
      <c r="U1" s="5" t="s">
        <v>75</v>
      </c>
      <c r="V1" s="5" t="s">
        <v>76</v>
      </c>
      <c r="W1" s="5" t="s">
        <v>77</v>
      </c>
      <c r="X1" s="5" t="s">
        <v>78</v>
      </c>
      <c r="Y1" s="5" t="s">
        <v>79</v>
      </c>
      <c r="Z1" s="5" t="s">
        <v>80</v>
      </c>
      <c r="AA1" s="5" t="s">
        <v>81</v>
      </c>
      <c r="AB1" s="5" t="s">
        <v>82</v>
      </c>
      <c r="AC1" s="5" t="s">
        <v>83</v>
      </c>
      <c r="AD1" s="5" t="s">
        <v>84</v>
      </c>
    </row>
    <row r="2" customFormat="false" ht="35.05" hidden="false" customHeight="false" outlineLevel="0" collapsed="false">
      <c r="A2" s="7" t="s">
        <v>85</v>
      </c>
      <c r="B2" s="7" t="s">
        <v>86</v>
      </c>
      <c r="C2" s="7" t="s">
        <v>87</v>
      </c>
      <c r="D2" s="7" t="s">
        <v>88</v>
      </c>
      <c r="E2" s="7" t="s">
        <v>89</v>
      </c>
      <c r="F2" s="7" t="s">
        <v>90</v>
      </c>
      <c r="G2" s="7" t="s">
        <v>91</v>
      </c>
      <c r="H2" s="7" t="s">
        <v>92</v>
      </c>
      <c r="I2" s="7" t="s">
        <v>93</v>
      </c>
      <c r="J2" s="7" t="s">
        <v>94</v>
      </c>
      <c r="K2" s="7" t="s">
        <v>95</v>
      </c>
      <c r="L2" s="7" t="s">
        <v>96</v>
      </c>
      <c r="M2" s="7" t="s">
        <v>97</v>
      </c>
      <c r="N2" s="7" t="s">
        <v>98</v>
      </c>
      <c r="O2" s="7" t="s">
        <v>99</v>
      </c>
      <c r="P2" s="7" t="s">
        <v>100</v>
      </c>
      <c r="Q2" s="7" t="s">
        <v>101</v>
      </c>
      <c r="R2" s="7" t="s">
        <v>102</v>
      </c>
      <c r="S2" s="7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customFormat="false" ht="35.05" hidden="false" customHeight="false" outlineLevel="0" collapsed="false">
      <c r="A3" s="7" t="s">
        <v>103</v>
      </c>
      <c r="B3" s="7" t="s">
        <v>86</v>
      </c>
      <c r="C3" s="7" t="s">
        <v>104</v>
      </c>
      <c r="D3" s="7" t="s">
        <v>105</v>
      </c>
      <c r="E3" s="7" t="s">
        <v>106</v>
      </c>
      <c r="F3" s="7" t="s">
        <v>107</v>
      </c>
      <c r="G3" s="7" t="s">
        <v>108</v>
      </c>
      <c r="H3" s="7" t="s">
        <v>92</v>
      </c>
      <c r="I3" s="7" t="s">
        <v>93</v>
      </c>
      <c r="J3" s="7" t="s">
        <v>109</v>
      </c>
      <c r="K3" s="7" t="s">
        <v>110</v>
      </c>
      <c r="L3" s="7" t="s">
        <v>96</v>
      </c>
      <c r="M3" s="7" t="s">
        <v>111</v>
      </c>
      <c r="N3" s="7" t="s">
        <v>112</v>
      </c>
      <c r="O3" s="7" t="s">
        <v>113</v>
      </c>
      <c r="P3" s="7" t="s">
        <v>100</v>
      </c>
      <c r="Q3" s="7" t="s">
        <v>101</v>
      </c>
      <c r="R3" s="7" t="s">
        <v>102</v>
      </c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customFormat="false" ht="35.05" hidden="false" customHeight="false" outlineLevel="0" collapsed="false">
      <c r="A4" s="7" t="s">
        <v>114</v>
      </c>
      <c r="B4" s="7" t="s">
        <v>86</v>
      </c>
      <c r="C4" s="7" t="s">
        <v>115</v>
      </c>
      <c r="D4" s="7" t="s">
        <v>116</v>
      </c>
      <c r="E4" s="7" t="s">
        <v>117</v>
      </c>
      <c r="F4" s="7" t="s">
        <v>118</v>
      </c>
      <c r="G4" s="7" t="s">
        <v>119</v>
      </c>
      <c r="H4" s="7" t="s">
        <v>92</v>
      </c>
      <c r="I4" s="7" t="s">
        <v>93</v>
      </c>
      <c r="J4" s="7" t="s">
        <v>120</v>
      </c>
      <c r="K4" s="7" t="s">
        <v>121</v>
      </c>
      <c r="L4" s="7" t="s">
        <v>96</v>
      </c>
      <c r="M4" s="7" t="s">
        <v>122</v>
      </c>
      <c r="N4" s="7" t="s">
        <v>123</v>
      </c>
      <c r="O4" s="7" t="s">
        <v>124</v>
      </c>
      <c r="P4" s="7" t="s">
        <v>100</v>
      </c>
      <c r="Q4" s="7" t="s">
        <v>101</v>
      </c>
      <c r="R4" s="7" t="s">
        <v>102</v>
      </c>
      <c r="S4" s="7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customFormat="false" ht="35.05" hidden="false" customHeight="false" outlineLevel="0" collapsed="false">
      <c r="A5" s="7" t="s">
        <v>125</v>
      </c>
      <c r="B5" s="7" t="s">
        <v>86</v>
      </c>
      <c r="C5" s="7" t="s">
        <v>126</v>
      </c>
      <c r="D5" s="7" t="s">
        <v>127</v>
      </c>
      <c r="E5" s="7" t="s">
        <v>128</v>
      </c>
      <c r="F5" s="7" t="s">
        <v>129</v>
      </c>
      <c r="G5" s="7" t="s">
        <v>130</v>
      </c>
      <c r="H5" s="7" t="s">
        <v>92</v>
      </c>
      <c r="I5" s="7" t="s">
        <v>93</v>
      </c>
      <c r="J5" s="7" t="s">
        <v>131</v>
      </c>
      <c r="K5" s="7" t="s">
        <v>132</v>
      </c>
      <c r="L5" s="7" t="s">
        <v>96</v>
      </c>
      <c r="M5" s="7" t="s">
        <v>133</v>
      </c>
      <c r="N5" s="7" t="s">
        <v>134</v>
      </c>
      <c r="O5" s="7" t="s">
        <v>135</v>
      </c>
      <c r="P5" s="7" t="s">
        <v>100</v>
      </c>
      <c r="Q5" s="7" t="s">
        <v>101</v>
      </c>
      <c r="R5" s="7" t="s">
        <v>102</v>
      </c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customFormat="false" ht="35.05" hidden="false" customHeight="false" outlineLevel="0" collapsed="false">
      <c r="A6" s="7" t="s">
        <v>136</v>
      </c>
      <c r="B6" s="7" t="s">
        <v>86</v>
      </c>
      <c r="C6" s="7" t="s">
        <v>137</v>
      </c>
      <c r="D6" s="7" t="s">
        <v>138</v>
      </c>
      <c r="E6" s="7" t="s">
        <v>139</v>
      </c>
      <c r="F6" s="7" t="s">
        <v>140</v>
      </c>
      <c r="G6" s="7" t="s">
        <v>141</v>
      </c>
      <c r="H6" s="7" t="s">
        <v>92</v>
      </c>
      <c r="I6" s="7" t="s">
        <v>93</v>
      </c>
      <c r="J6" s="7" t="s">
        <v>142</v>
      </c>
      <c r="K6" s="7" t="s">
        <v>143</v>
      </c>
      <c r="L6" s="7" t="s">
        <v>96</v>
      </c>
      <c r="M6" s="7" t="s">
        <v>144</v>
      </c>
      <c r="N6" s="7" t="s">
        <v>145</v>
      </c>
      <c r="O6" s="7" t="s">
        <v>146</v>
      </c>
      <c r="P6" s="7" t="s">
        <v>100</v>
      </c>
      <c r="Q6" s="7" t="s">
        <v>101</v>
      </c>
      <c r="R6" s="7" t="s">
        <v>102</v>
      </c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customFormat="false" ht="35.05" hidden="false" customHeight="false" outlineLevel="0" collapsed="false">
      <c r="A7" s="9" t="s">
        <v>147</v>
      </c>
      <c r="B7" s="9" t="s">
        <v>148</v>
      </c>
      <c r="C7" s="9" t="s">
        <v>87</v>
      </c>
      <c r="D7" s="9" t="s">
        <v>149</v>
      </c>
      <c r="E7" s="9" t="s">
        <v>150</v>
      </c>
      <c r="F7" s="9" t="s">
        <v>151</v>
      </c>
      <c r="G7" s="9" t="s">
        <v>152</v>
      </c>
      <c r="H7" s="9" t="s">
        <v>92</v>
      </c>
      <c r="I7" s="9" t="s">
        <v>93</v>
      </c>
      <c r="J7" s="9" t="s">
        <v>153</v>
      </c>
      <c r="K7" s="9" t="s">
        <v>154</v>
      </c>
      <c r="L7" s="9" t="s">
        <v>96</v>
      </c>
      <c r="M7" s="9" t="s">
        <v>155</v>
      </c>
      <c r="N7" s="9" t="s">
        <v>156</v>
      </c>
      <c r="O7" s="9" t="s">
        <v>157</v>
      </c>
      <c r="P7" s="9" t="s">
        <v>158</v>
      </c>
      <c r="Q7" s="9" t="s">
        <v>159</v>
      </c>
      <c r="R7" s="9" t="s">
        <v>102</v>
      </c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customFormat="false" ht="35.05" hidden="false" customHeight="false" outlineLevel="0" collapsed="false">
      <c r="A8" s="9" t="s">
        <v>160</v>
      </c>
      <c r="B8" s="9" t="s">
        <v>148</v>
      </c>
      <c r="C8" s="9" t="s">
        <v>104</v>
      </c>
      <c r="D8" s="9" t="s">
        <v>161</v>
      </c>
      <c r="E8" s="9" t="s">
        <v>162</v>
      </c>
      <c r="F8" s="9" t="s">
        <v>163</v>
      </c>
      <c r="G8" s="9" t="s">
        <v>164</v>
      </c>
      <c r="H8" s="9" t="s">
        <v>92</v>
      </c>
      <c r="I8" s="9" t="s">
        <v>93</v>
      </c>
      <c r="J8" s="9" t="s">
        <v>165</v>
      </c>
      <c r="K8" s="9" t="s">
        <v>166</v>
      </c>
      <c r="L8" s="9" t="s">
        <v>96</v>
      </c>
      <c r="M8" s="9" t="s">
        <v>167</v>
      </c>
      <c r="N8" s="9" t="s">
        <v>168</v>
      </c>
      <c r="O8" s="9" t="s">
        <v>169</v>
      </c>
      <c r="P8" s="9" t="s">
        <v>158</v>
      </c>
      <c r="Q8" s="9" t="s">
        <v>159</v>
      </c>
      <c r="R8" s="9" t="s">
        <v>102</v>
      </c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customFormat="false" ht="23.85" hidden="false" customHeight="false" outlineLevel="0" collapsed="false">
      <c r="A9" s="9" t="s">
        <v>170</v>
      </c>
      <c r="B9" s="9" t="s">
        <v>148</v>
      </c>
      <c r="C9" s="9" t="s">
        <v>115</v>
      </c>
      <c r="D9" s="9" t="s">
        <v>171</v>
      </c>
      <c r="E9" s="9" t="s">
        <v>172</v>
      </c>
      <c r="F9" s="9" t="s">
        <v>173</v>
      </c>
      <c r="G9" s="9" t="s">
        <v>174</v>
      </c>
      <c r="H9" s="9" t="s">
        <v>92</v>
      </c>
      <c r="I9" s="9" t="s">
        <v>93</v>
      </c>
      <c r="J9" s="9" t="s">
        <v>175</v>
      </c>
      <c r="K9" s="9" t="s">
        <v>176</v>
      </c>
      <c r="L9" s="9" t="s">
        <v>96</v>
      </c>
      <c r="M9" s="9" t="s">
        <v>177</v>
      </c>
      <c r="N9" s="9" t="s">
        <v>178</v>
      </c>
      <c r="O9" s="9" t="s">
        <v>169</v>
      </c>
      <c r="P9" s="9" t="s">
        <v>100</v>
      </c>
      <c r="Q9" s="9" t="s">
        <v>159</v>
      </c>
      <c r="R9" s="9" t="s">
        <v>102</v>
      </c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customFormat="false" ht="35.05" hidden="false" customHeight="false" outlineLevel="0" collapsed="false">
      <c r="A10" s="9" t="s">
        <v>179</v>
      </c>
      <c r="B10" s="9" t="s">
        <v>148</v>
      </c>
      <c r="C10" s="9" t="s">
        <v>126</v>
      </c>
      <c r="D10" s="9" t="s">
        <v>180</v>
      </c>
      <c r="E10" s="9" t="s">
        <v>181</v>
      </c>
      <c r="F10" s="9" t="s">
        <v>182</v>
      </c>
      <c r="G10" s="9" t="s">
        <v>183</v>
      </c>
      <c r="H10" s="9" t="s">
        <v>92</v>
      </c>
      <c r="I10" s="9" t="s">
        <v>93</v>
      </c>
      <c r="J10" s="9" t="s">
        <v>184</v>
      </c>
      <c r="K10" s="9" t="s">
        <v>185</v>
      </c>
      <c r="L10" s="9" t="s">
        <v>96</v>
      </c>
      <c r="M10" s="9" t="s">
        <v>186</v>
      </c>
      <c r="N10" s="9" t="s">
        <v>187</v>
      </c>
      <c r="O10" s="9" t="s">
        <v>169</v>
      </c>
      <c r="P10" s="9" t="s">
        <v>100</v>
      </c>
      <c r="Q10" s="9" t="s">
        <v>188</v>
      </c>
      <c r="R10" s="9" t="s">
        <v>102</v>
      </c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customFormat="false" ht="35.05" hidden="false" customHeight="false" outlineLevel="0" collapsed="false">
      <c r="A11" s="9" t="s">
        <v>189</v>
      </c>
      <c r="B11" s="9" t="s">
        <v>148</v>
      </c>
      <c r="C11" s="9" t="s">
        <v>137</v>
      </c>
      <c r="D11" s="9" t="s">
        <v>190</v>
      </c>
      <c r="E11" s="9" t="s">
        <v>191</v>
      </c>
      <c r="F11" s="9" t="s">
        <v>192</v>
      </c>
      <c r="G11" s="9" t="s">
        <v>193</v>
      </c>
      <c r="H11" s="9" t="s">
        <v>92</v>
      </c>
      <c r="I11" s="9" t="s">
        <v>93</v>
      </c>
      <c r="J11" s="9" t="s">
        <v>194</v>
      </c>
      <c r="K11" s="9" t="s">
        <v>195</v>
      </c>
      <c r="L11" s="9" t="s">
        <v>96</v>
      </c>
      <c r="M11" s="9" t="s">
        <v>196</v>
      </c>
      <c r="N11" s="9" t="s">
        <v>197</v>
      </c>
      <c r="O11" s="9" t="s">
        <v>198</v>
      </c>
      <c r="P11" s="9" t="s">
        <v>100</v>
      </c>
      <c r="Q11" s="9" t="s">
        <v>159</v>
      </c>
      <c r="R11" s="9" t="s">
        <v>102</v>
      </c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customFormat="false" ht="35.05" hidden="false" customHeight="false" outlineLevel="0" collapsed="false">
      <c r="A12" s="9" t="s">
        <v>199</v>
      </c>
      <c r="B12" s="9" t="s">
        <v>148</v>
      </c>
      <c r="C12" s="9" t="s">
        <v>200</v>
      </c>
      <c r="D12" s="9" t="s">
        <v>201</v>
      </c>
      <c r="E12" s="9" t="s">
        <v>202</v>
      </c>
      <c r="F12" s="9" t="s">
        <v>203</v>
      </c>
      <c r="G12" s="9" t="s">
        <v>204</v>
      </c>
      <c r="H12" s="9" t="s">
        <v>92</v>
      </c>
      <c r="I12" s="9" t="s">
        <v>93</v>
      </c>
      <c r="J12" s="9" t="s">
        <v>205</v>
      </c>
      <c r="K12" s="9" t="s">
        <v>206</v>
      </c>
      <c r="L12" s="9" t="s">
        <v>96</v>
      </c>
      <c r="M12" s="9" t="s">
        <v>207</v>
      </c>
      <c r="N12" s="9" t="s">
        <v>208</v>
      </c>
      <c r="O12" s="9" t="s">
        <v>169</v>
      </c>
      <c r="P12" s="9" t="s">
        <v>100</v>
      </c>
      <c r="Q12" s="9" t="s">
        <v>159</v>
      </c>
      <c r="R12" s="9" t="s">
        <v>102</v>
      </c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customFormat="false" ht="35.05" hidden="false" customHeight="false" outlineLevel="0" collapsed="false">
      <c r="A13" s="9" t="s">
        <v>209</v>
      </c>
      <c r="B13" s="9" t="s">
        <v>148</v>
      </c>
      <c r="C13" s="9" t="s">
        <v>210</v>
      </c>
      <c r="D13" s="9" t="s">
        <v>211</v>
      </c>
      <c r="E13" s="9" t="s">
        <v>212</v>
      </c>
      <c r="F13" s="9" t="s">
        <v>213</v>
      </c>
      <c r="G13" s="9" t="s">
        <v>214</v>
      </c>
      <c r="H13" s="9" t="s">
        <v>92</v>
      </c>
      <c r="I13" s="9" t="s">
        <v>93</v>
      </c>
      <c r="J13" s="9" t="s">
        <v>215</v>
      </c>
      <c r="K13" s="9" t="s">
        <v>216</v>
      </c>
      <c r="L13" s="9" t="s">
        <v>96</v>
      </c>
      <c r="M13" s="9" t="s">
        <v>217</v>
      </c>
      <c r="N13" s="9" t="s">
        <v>218</v>
      </c>
      <c r="O13" s="9" t="s">
        <v>169</v>
      </c>
      <c r="P13" s="9" t="s">
        <v>100</v>
      </c>
      <c r="Q13" s="9" t="s">
        <v>159</v>
      </c>
      <c r="R13" s="9" t="s">
        <v>102</v>
      </c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customFormat="false" ht="35.05" hidden="false" customHeight="false" outlineLevel="0" collapsed="false">
      <c r="A14" s="7" t="s">
        <v>219</v>
      </c>
      <c r="B14" s="7" t="s">
        <v>148</v>
      </c>
      <c r="C14" s="7" t="s">
        <v>220</v>
      </c>
      <c r="D14" s="7" t="s">
        <v>221</v>
      </c>
      <c r="E14" s="7" t="s">
        <v>222</v>
      </c>
      <c r="F14" s="7" t="s">
        <v>223</v>
      </c>
      <c r="G14" s="7" t="s">
        <v>224</v>
      </c>
      <c r="H14" s="7" t="s">
        <v>92</v>
      </c>
      <c r="I14" s="7" t="s">
        <v>93</v>
      </c>
      <c r="J14" s="7" t="s">
        <v>225</v>
      </c>
      <c r="K14" s="7" t="s">
        <v>226</v>
      </c>
      <c r="L14" s="7" t="s">
        <v>96</v>
      </c>
      <c r="M14" s="7" t="s">
        <v>227</v>
      </c>
      <c r="N14" s="7" t="s">
        <v>228</v>
      </c>
      <c r="O14" s="7" t="s">
        <v>169</v>
      </c>
      <c r="P14" s="7" t="s">
        <v>100</v>
      </c>
      <c r="Q14" s="7" t="s">
        <v>101</v>
      </c>
      <c r="R14" s="7" t="s">
        <v>102</v>
      </c>
      <c r="S14" s="7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customFormat="false" ht="35.05" hidden="false" customHeight="false" outlineLevel="0" collapsed="false">
      <c r="A15" s="7" t="s">
        <v>229</v>
      </c>
      <c r="B15" s="7" t="s">
        <v>148</v>
      </c>
      <c r="C15" s="7" t="s">
        <v>230</v>
      </c>
      <c r="D15" s="7" t="s">
        <v>231</v>
      </c>
      <c r="E15" s="7" t="s">
        <v>232</v>
      </c>
      <c r="F15" s="7" t="s">
        <v>233</v>
      </c>
      <c r="G15" s="7" t="s">
        <v>234</v>
      </c>
      <c r="H15" s="7" t="s">
        <v>92</v>
      </c>
      <c r="I15" s="7" t="s">
        <v>93</v>
      </c>
      <c r="J15" s="7" t="s">
        <v>235</v>
      </c>
      <c r="K15" s="7" t="s">
        <v>236</v>
      </c>
      <c r="L15" s="7" t="s">
        <v>96</v>
      </c>
      <c r="M15" s="7" t="s">
        <v>237</v>
      </c>
      <c r="N15" s="7" t="s">
        <v>238</v>
      </c>
      <c r="O15" s="7" t="s">
        <v>239</v>
      </c>
      <c r="P15" s="7" t="s">
        <v>100</v>
      </c>
      <c r="Q15" s="7" t="s">
        <v>101</v>
      </c>
      <c r="R15" s="7" t="s">
        <v>102</v>
      </c>
      <c r="S15" s="7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customFormat="false" ht="46.25" hidden="false" customHeight="false" outlineLevel="0" collapsed="false">
      <c r="A16" s="7" t="s">
        <v>240</v>
      </c>
      <c r="B16" s="7" t="s">
        <v>148</v>
      </c>
      <c r="C16" s="7" t="s">
        <v>241</v>
      </c>
      <c r="D16" s="7" t="s">
        <v>242</v>
      </c>
      <c r="E16" s="7" t="s">
        <v>243</v>
      </c>
      <c r="F16" s="7" t="s">
        <v>244</v>
      </c>
      <c r="G16" s="7" t="s">
        <v>245</v>
      </c>
      <c r="H16" s="7" t="s">
        <v>92</v>
      </c>
      <c r="I16" s="7" t="s">
        <v>93</v>
      </c>
      <c r="J16" s="7" t="s">
        <v>246</v>
      </c>
      <c r="K16" s="7" t="s">
        <v>247</v>
      </c>
      <c r="L16" s="7" t="s">
        <v>96</v>
      </c>
      <c r="M16" s="7" t="s">
        <v>248</v>
      </c>
      <c r="N16" s="7" t="s">
        <v>249</v>
      </c>
      <c r="O16" s="7" t="s">
        <v>169</v>
      </c>
      <c r="P16" s="7" t="s">
        <v>100</v>
      </c>
      <c r="Q16" s="7" t="s">
        <v>101</v>
      </c>
      <c r="R16" s="7" t="s">
        <v>102</v>
      </c>
      <c r="S16" s="7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customFormat="false" ht="35.05" hidden="false" customHeight="false" outlineLevel="0" collapsed="false">
      <c r="A17" s="7" t="s">
        <v>250</v>
      </c>
      <c r="B17" s="7" t="s">
        <v>148</v>
      </c>
      <c r="C17" s="7" t="s">
        <v>251</v>
      </c>
      <c r="D17" s="7" t="s">
        <v>252</v>
      </c>
      <c r="E17" s="7" t="s">
        <v>253</v>
      </c>
      <c r="F17" s="7" t="s">
        <v>254</v>
      </c>
      <c r="G17" s="7" t="s">
        <v>255</v>
      </c>
      <c r="H17" s="7" t="s">
        <v>92</v>
      </c>
      <c r="I17" s="7" t="s">
        <v>93</v>
      </c>
      <c r="J17" s="7" t="s">
        <v>256</v>
      </c>
      <c r="K17" s="7" t="s">
        <v>257</v>
      </c>
      <c r="L17" s="7" t="s">
        <v>96</v>
      </c>
      <c r="M17" s="7" t="s">
        <v>258</v>
      </c>
      <c r="N17" s="7" t="s">
        <v>259</v>
      </c>
      <c r="O17" s="7" t="s">
        <v>169</v>
      </c>
      <c r="P17" s="7" t="s">
        <v>100</v>
      </c>
      <c r="Q17" s="7" t="s">
        <v>260</v>
      </c>
      <c r="R17" s="7" t="s">
        <v>102</v>
      </c>
      <c r="S17" s="7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customFormat="false" ht="35.05" hidden="false" customHeight="false" outlineLevel="0" collapsed="false">
      <c r="A18" s="9" t="s">
        <v>261</v>
      </c>
      <c r="B18" s="9" t="s">
        <v>148</v>
      </c>
      <c r="C18" s="9" t="s">
        <v>262</v>
      </c>
      <c r="D18" s="9" t="s">
        <v>263</v>
      </c>
      <c r="E18" s="9" t="s">
        <v>264</v>
      </c>
      <c r="F18" s="9" t="s">
        <v>265</v>
      </c>
      <c r="G18" s="9" t="s">
        <v>266</v>
      </c>
      <c r="H18" s="9" t="s">
        <v>92</v>
      </c>
      <c r="I18" s="9" t="s">
        <v>93</v>
      </c>
      <c r="J18" s="9" t="s">
        <v>267</v>
      </c>
      <c r="K18" s="9" t="s">
        <v>268</v>
      </c>
      <c r="L18" s="9" t="s">
        <v>96</v>
      </c>
      <c r="M18" s="9" t="s">
        <v>269</v>
      </c>
      <c r="N18" s="9" t="s">
        <v>270</v>
      </c>
      <c r="O18" s="9" t="s">
        <v>271</v>
      </c>
      <c r="P18" s="9" t="s">
        <v>158</v>
      </c>
      <c r="Q18" s="9" t="s">
        <v>188</v>
      </c>
      <c r="R18" s="9" t="s">
        <v>272</v>
      </c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customFormat="false" ht="35.05" hidden="false" customHeight="false" outlineLevel="0" collapsed="false">
      <c r="A19" s="9" t="s">
        <v>273</v>
      </c>
      <c r="B19" s="9" t="s">
        <v>148</v>
      </c>
      <c r="C19" s="9" t="s">
        <v>274</v>
      </c>
      <c r="D19" s="9" t="s">
        <v>275</v>
      </c>
      <c r="E19" s="9" t="s">
        <v>276</v>
      </c>
      <c r="F19" s="9" t="s">
        <v>277</v>
      </c>
      <c r="G19" s="9" t="s">
        <v>278</v>
      </c>
      <c r="H19" s="9" t="s">
        <v>92</v>
      </c>
      <c r="I19" s="9" t="s">
        <v>93</v>
      </c>
      <c r="J19" s="9" t="s">
        <v>279</v>
      </c>
      <c r="K19" s="9" t="s">
        <v>280</v>
      </c>
      <c r="L19" s="9" t="s">
        <v>281</v>
      </c>
      <c r="M19" s="9" t="s">
        <v>282</v>
      </c>
      <c r="N19" s="9" t="s">
        <v>283</v>
      </c>
      <c r="O19" s="9" t="s">
        <v>284</v>
      </c>
      <c r="P19" s="9" t="s">
        <v>100</v>
      </c>
      <c r="Q19" s="9" t="s">
        <v>159</v>
      </c>
      <c r="R19" s="9" t="s">
        <v>102</v>
      </c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customFormat="false" ht="35.05" hidden="false" customHeight="false" outlineLevel="0" collapsed="false">
      <c r="A20" s="7" t="s">
        <v>285</v>
      </c>
      <c r="B20" s="7" t="s">
        <v>148</v>
      </c>
      <c r="C20" s="7" t="s">
        <v>286</v>
      </c>
      <c r="D20" s="7" t="s">
        <v>287</v>
      </c>
      <c r="E20" s="7" t="s">
        <v>288</v>
      </c>
      <c r="F20" s="7" t="s">
        <v>289</v>
      </c>
      <c r="G20" s="7" t="s">
        <v>290</v>
      </c>
      <c r="H20" s="7" t="s">
        <v>92</v>
      </c>
      <c r="I20" s="7" t="s">
        <v>93</v>
      </c>
      <c r="J20" s="7" t="s">
        <v>291</v>
      </c>
      <c r="K20" s="7" t="s">
        <v>292</v>
      </c>
      <c r="L20" s="7" t="s">
        <v>96</v>
      </c>
      <c r="M20" s="7" t="s">
        <v>293</v>
      </c>
      <c r="N20" s="7" t="s">
        <v>294</v>
      </c>
      <c r="O20" s="7" t="s">
        <v>295</v>
      </c>
      <c r="P20" s="7" t="s">
        <v>100</v>
      </c>
      <c r="Q20" s="7" t="s">
        <v>101</v>
      </c>
      <c r="R20" s="7" t="s">
        <v>102</v>
      </c>
      <c r="S20" s="7" t="s">
        <v>296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customFormat="false" ht="35.05" hidden="false" customHeight="false" outlineLevel="0" collapsed="false">
      <c r="A21" s="7" t="s">
        <v>297</v>
      </c>
      <c r="B21" s="7" t="s">
        <v>148</v>
      </c>
      <c r="C21" s="7" t="s">
        <v>298</v>
      </c>
      <c r="D21" s="7" t="s">
        <v>299</v>
      </c>
      <c r="E21" s="7" t="s">
        <v>300</v>
      </c>
      <c r="F21" s="7" t="s">
        <v>301</v>
      </c>
      <c r="G21" s="7" t="s">
        <v>302</v>
      </c>
      <c r="H21" s="7" t="s">
        <v>92</v>
      </c>
      <c r="I21" s="7" t="s">
        <v>93</v>
      </c>
      <c r="J21" s="7" t="s">
        <v>303</v>
      </c>
      <c r="K21" s="7" t="s">
        <v>304</v>
      </c>
      <c r="L21" s="7" t="s">
        <v>305</v>
      </c>
      <c r="M21" s="7" t="s">
        <v>306</v>
      </c>
      <c r="N21" s="7" t="s">
        <v>307</v>
      </c>
      <c r="O21" s="7" t="s">
        <v>308</v>
      </c>
      <c r="P21" s="7" t="s">
        <v>158</v>
      </c>
      <c r="Q21" s="7" t="s">
        <v>101</v>
      </c>
      <c r="R21" s="7" t="s">
        <v>272</v>
      </c>
      <c r="S21" s="7" t="s">
        <v>309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customFormat="false" ht="35.05" hidden="false" customHeight="false" outlineLevel="0" collapsed="false">
      <c r="A22" s="9" t="s">
        <v>310</v>
      </c>
      <c r="B22" s="9" t="s">
        <v>148</v>
      </c>
      <c r="C22" s="9" t="s">
        <v>311</v>
      </c>
      <c r="D22" s="9" t="s">
        <v>312</v>
      </c>
      <c r="E22" s="9" t="s">
        <v>313</v>
      </c>
      <c r="F22" s="9" t="s">
        <v>314</v>
      </c>
      <c r="G22" s="9" t="s">
        <v>315</v>
      </c>
      <c r="H22" s="9" t="s">
        <v>92</v>
      </c>
      <c r="I22" s="9" t="s">
        <v>93</v>
      </c>
      <c r="J22" s="9" t="s">
        <v>316</v>
      </c>
      <c r="K22" s="9" t="s">
        <v>317</v>
      </c>
      <c r="L22" s="9" t="s">
        <v>96</v>
      </c>
      <c r="M22" s="9" t="s">
        <v>269</v>
      </c>
      <c r="N22" s="9" t="s">
        <v>318</v>
      </c>
      <c r="O22" s="9" t="s">
        <v>319</v>
      </c>
      <c r="P22" s="9" t="s">
        <v>158</v>
      </c>
      <c r="Q22" s="9" t="s">
        <v>188</v>
      </c>
      <c r="R22" s="9" t="s">
        <v>272</v>
      </c>
      <c r="S22" s="9" t="s">
        <v>320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customFormat="false" ht="35.05" hidden="false" customHeight="false" outlineLevel="0" collapsed="false">
      <c r="A23" s="7" t="s">
        <v>321</v>
      </c>
      <c r="B23" s="7" t="s">
        <v>148</v>
      </c>
      <c r="C23" s="7" t="s">
        <v>322</v>
      </c>
      <c r="D23" s="7" t="s">
        <v>323</v>
      </c>
      <c r="E23" s="7" t="s">
        <v>324</v>
      </c>
      <c r="F23" s="7" t="s">
        <v>325</v>
      </c>
      <c r="G23" s="7" t="s">
        <v>326</v>
      </c>
      <c r="H23" s="7" t="s">
        <v>92</v>
      </c>
      <c r="I23" s="7" t="s">
        <v>327</v>
      </c>
      <c r="J23" s="7" t="s">
        <v>328</v>
      </c>
      <c r="K23" s="7" t="s">
        <v>329</v>
      </c>
      <c r="L23" s="7" t="s">
        <v>305</v>
      </c>
      <c r="M23" s="7" t="s">
        <v>330</v>
      </c>
      <c r="N23" s="7" t="s">
        <v>331</v>
      </c>
      <c r="O23" s="7" t="s">
        <v>332</v>
      </c>
      <c r="P23" s="7" t="s">
        <v>333</v>
      </c>
      <c r="Q23" s="7" t="s">
        <v>101</v>
      </c>
      <c r="R23" s="7" t="s">
        <v>272</v>
      </c>
      <c r="S23" s="7" t="s">
        <v>334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customFormat="false" ht="23.85" hidden="false" customHeight="false" outlineLevel="0" collapsed="false">
      <c r="A24" s="10" t="s">
        <v>335</v>
      </c>
      <c r="B24" s="10" t="s">
        <v>148</v>
      </c>
      <c r="C24" s="10" t="s">
        <v>336</v>
      </c>
      <c r="D24" s="10" t="s">
        <v>337</v>
      </c>
      <c r="E24" s="10" t="s">
        <v>338</v>
      </c>
      <c r="F24" s="10" t="s">
        <v>339</v>
      </c>
      <c r="G24" s="10" t="s">
        <v>340</v>
      </c>
      <c r="H24" s="10" t="s">
        <v>92</v>
      </c>
      <c r="I24" s="10" t="s">
        <v>93</v>
      </c>
      <c r="J24" s="10" t="s">
        <v>341</v>
      </c>
      <c r="K24" s="10" t="s">
        <v>342</v>
      </c>
      <c r="L24" s="10" t="s">
        <v>305</v>
      </c>
      <c r="M24" s="10" t="s">
        <v>343</v>
      </c>
      <c r="N24" s="10" t="s">
        <v>344</v>
      </c>
      <c r="O24" s="10" t="s">
        <v>345</v>
      </c>
      <c r="P24" s="10" t="s">
        <v>158</v>
      </c>
      <c r="Q24" s="10" t="s">
        <v>346</v>
      </c>
      <c r="R24" s="10" t="s">
        <v>272</v>
      </c>
      <c r="S24" s="10" t="s">
        <v>347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customFormat="false" ht="23.85" hidden="false" customHeight="false" outlineLevel="0" collapsed="false">
      <c r="A25" s="10" t="s">
        <v>348</v>
      </c>
      <c r="B25" s="10" t="s">
        <v>148</v>
      </c>
      <c r="C25" s="10" t="s">
        <v>349</v>
      </c>
      <c r="D25" s="10" t="s">
        <v>337</v>
      </c>
      <c r="E25" s="10" t="s">
        <v>350</v>
      </c>
      <c r="F25" s="10" t="s">
        <v>351</v>
      </c>
      <c r="G25" s="10" t="s">
        <v>352</v>
      </c>
      <c r="H25" s="10" t="s">
        <v>92</v>
      </c>
      <c r="I25" s="10" t="s">
        <v>93</v>
      </c>
      <c r="J25" s="10" t="s">
        <v>353</v>
      </c>
      <c r="K25" s="10" t="s">
        <v>342</v>
      </c>
      <c r="L25" s="10" t="s">
        <v>305</v>
      </c>
      <c r="M25" s="10" t="s">
        <v>330</v>
      </c>
      <c r="N25" s="10" t="s">
        <v>344</v>
      </c>
      <c r="O25" s="10" t="s">
        <v>354</v>
      </c>
      <c r="P25" s="10" t="s">
        <v>333</v>
      </c>
      <c r="Q25" s="10" t="s">
        <v>346</v>
      </c>
      <c r="R25" s="10" t="s">
        <v>272</v>
      </c>
      <c r="S25" s="10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customFormat="false" ht="46.25" hidden="false" customHeight="false" outlineLevel="0" collapsed="false">
      <c r="A26" s="7" t="s">
        <v>355</v>
      </c>
      <c r="B26" s="7" t="s">
        <v>148</v>
      </c>
      <c r="C26" s="7" t="s">
        <v>356</v>
      </c>
      <c r="D26" s="7" t="s">
        <v>357</v>
      </c>
      <c r="E26" s="7" t="s">
        <v>358</v>
      </c>
      <c r="F26" s="7" t="s">
        <v>359</v>
      </c>
      <c r="G26" s="7" t="s">
        <v>360</v>
      </c>
      <c r="H26" s="7" t="s">
        <v>92</v>
      </c>
      <c r="I26" s="7" t="s">
        <v>93</v>
      </c>
      <c r="J26" s="7" t="s">
        <v>361</v>
      </c>
      <c r="K26" s="7" t="s">
        <v>362</v>
      </c>
      <c r="L26" s="7" t="s">
        <v>305</v>
      </c>
      <c r="M26" s="7" t="s">
        <v>363</v>
      </c>
      <c r="N26" s="7" t="s">
        <v>364</v>
      </c>
      <c r="O26" s="7" t="s">
        <v>365</v>
      </c>
      <c r="P26" s="7" t="s">
        <v>158</v>
      </c>
      <c r="Q26" s="7" t="s">
        <v>101</v>
      </c>
      <c r="R26" s="7" t="s">
        <v>366</v>
      </c>
      <c r="S26" s="7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customFormat="false" ht="35.05" hidden="false" customHeight="false" outlineLevel="0" collapsed="false">
      <c r="A27" s="7" t="s">
        <v>367</v>
      </c>
      <c r="B27" s="7" t="s">
        <v>148</v>
      </c>
      <c r="C27" s="7" t="s">
        <v>368</v>
      </c>
      <c r="D27" s="7" t="s">
        <v>369</v>
      </c>
      <c r="E27" s="7" t="s">
        <v>370</v>
      </c>
      <c r="F27" s="7" t="s">
        <v>371</v>
      </c>
      <c r="G27" s="7" t="s">
        <v>372</v>
      </c>
      <c r="H27" s="7" t="s">
        <v>92</v>
      </c>
      <c r="I27" s="7" t="s">
        <v>93</v>
      </c>
      <c r="J27" s="7" t="s">
        <v>373</v>
      </c>
      <c r="K27" s="7" t="s">
        <v>374</v>
      </c>
      <c r="L27" s="7" t="s">
        <v>375</v>
      </c>
      <c r="M27" s="7" t="s">
        <v>376</v>
      </c>
      <c r="N27" s="7" t="s">
        <v>377</v>
      </c>
      <c r="O27" s="7" t="s">
        <v>378</v>
      </c>
      <c r="P27" s="7" t="s">
        <v>158</v>
      </c>
      <c r="Q27" s="7" t="s">
        <v>101</v>
      </c>
      <c r="R27" s="7" t="s">
        <v>272</v>
      </c>
      <c r="S27" s="7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customFormat="false" ht="23.85" hidden="false" customHeight="false" outlineLevel="0" collapsed="false">
      <c r="A28" s="10" t="s">
        <v>379</v>
      </c>
      <c r="B28" s="10" t="s">
        <v>148</v>
      </c>
      <c r="C28" s="10" t="s">
        <v>380</v>
      </c>
      <c r="D28" s="10" t="s">
        <v>381</v>
      </c>
      <c r="E28" s="10" t="s">
        <v>382</v>
      </c>
      <c r="F28" s="10" t="s">
        <v>383</v>
      </c>
      <c r="G28" s="10" t="s">
        <v>384</v>
      </c>
      <c r="H28" s="10" t="s">
        <v>305</v>
      </c>
      <c r="I28" s="10" t="s">
        <v>385</v>
      </c>
      <c r="J28" s="10" t="s">
        <v>386</v>
      </c>
      <c r="K28" s="10" t="s">
        <v>387</v>
      </c>
      <c r="L28" s="10" t="s">
        <v>305</v>
      </c>
      <c r="M28" s="10" t="s">
        <v>388</v>
      </c>
      <c r="N28" s="10" t="s">
        <v>389</v>
      </c>
      <c r="O28" s="10" t="s">
        <v>390</v>
      </c>
      <c r="P28" s="10" t="s">
        <v>333</v>
      </c>
      <c r="Q28" s="10" t="s">
        <v>346</v>
      </c>
      <c r="R28" s="10" t="s">
        <v>272</v>
      </c>
      <c r="S28" s="10" t="s">
        <v>391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customFormat="false" ht="35.05" hidden="false" customHeight="false" outlineLevel="0" collapsed="false">
      <c r="A29" s="9" t="s">
        <v>392</v>
      </c>
      <c r="B29" s="9" t="s">
        <v>393</v>
      </c>
      <c r="C29" s="9" t="s">
        <v>87</v>
      </c>
      <c r="D29" s="9" t="s">
        <v>394</v>
      </c>
      <c r="E29" s="9" t="s">
        <v>395</v>
      </c>
      <c r="F29" s="9" t="s">
        <v>396</v>
      </c>
      <c r="G29" s="9" t="s">
        <v>397</v>
      </c>
      <c r="H29" s="9" t="s">
        <v>92</v>
      </c>
      <c r="I29" s="9" t="s">
        <v>93</v>
      </c>
      <c r="J29" s="9" t="s">
        <v>398</v>
      </c>
      <c r="K29" s="9" t="s">
        <v>399</v>
      </c>
      <c r="L29" s="9" t="s">
        <v>96</v>
      </c>
      <c r="M29" s="9" t="s">
        <v>400</v>
      </c>
      <c r="N29" s="9" t="s">
        <v>401</v>
      </c>
      <c r="O29" s="9" t="s">
        <v>402</v>
      </c>
      <c r="P29" s="9" t="s">
        <v>333</v>
      </c>
      <c r="Q29" s="9" t="s">
        <v>188</v>
      </c>
      <c r="R29" s="9" t="s">
        <v>272</v>
      </c>
      <c r="S29" s="9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customFormat="false" ht="35.05" hidden="false" customHeight="false" outlineLevel="0" collapsed="false">
      <c r="A30" s="7" t="s">
        <v>403</v>
      </c>
      <c r="B30" s="7" t="s">
        <v>393</v>
      </c>
      <c r="C30" s="7" t="s">
        <v>104</v>
      </c>
      <c r="D30" s="7" t="s">
        <v>404</v>
      </c>
      <c r="E30" s="7" t="s">
        <v>405</v>
      </c>
      <c r="F30" s="7" t="s">
        <v>406</v>
      </c>
      <c r="G30" s="7" t="s">
        <v>407</v>
      </c>
      <c r="H30" s="7" t="s">
        <v>92</v>
      </c>
      <c r="I30" s="7" t="s">
        <v>93</v>
      </c>
      <c r="J30" s="7" t="s">
        <v>408</v>
      </c>
      <c r="K30" s="7" t="s">
        <v>281</v>
      </c>
      <c r="L30" s="7" t="s">
        <v>409</v>
      </c>
      <c r="M30" s="7" t="s">
        <v>410</v>
      </c>
      <c r="N30" s="7" t="s">
        <v>411</v>
      </c>
      <c r="O30" s="7" t="s">
        <v>412</v>
      </c>
      <c r="P30" s="7" t="s">
        <v>333</v>
      </c>
      <c r="Q30" s="7" t="s">
        <v>101</v>
      </c>
      <c r="R30" s="7" t="s">
        <v>272</v>
      </c>
      <c r="S30" s="7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customFormat="false" ht="35.05" hidden="false" customHeight="false" outlineLevel="0" collapsed="false">
      <c r="A31" s="7" t="s">
        <v>413</v>
      </c>
      <c r="B31" s="7" t="s">
        <v>393</v>
      </c>
      <c r="C31" s="7" t="s">
        <v>115</v>
      </c>
      <c r="D31" s="7" t="s">
        <v>414</v>
      </c>
      <c r="E31" s="7" t="s">
        <v>415</v>
      </c>
      <c r="F31" s="7" t="s">
        <v>416</v>
      </c>
      <c r="G31" s="7" t="s">
        <v>417</v>
      </c>
      <c r="H31" s="7" t="s">
        <v>92</v>
      </c>
      <c r="I31" s="7" t="s">
        <v>93</v>
      </c>
      <c r="J31" s="7" t="s">
        <v>418</v>
      </c>
      <c r="K31" s="7" t="s">
        <v>281</v>
      </c>
      <c r="L31" s="7" t="s">
        <v>409</v>
      </c>
      <c r="M31" s="7" t="s">
        <v>419</v>
      </c>
      <c r="N31" s="7" t="s">
        <v>420</v>
      </c>
      <c r="O31" s="7" t="s">
        <v>421</v>
      </c>
      <c r="P31" s="7" t="s">
        <v>333</v>
      </c>
      <c r="Q31" s="7" t="s">
        <v>101</v>
      </c>
      <c r="R31" s="7" t="s">
        <v>272</v>
      </c>
      <c r="S31" s="7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customFormat="false" ht="23.85" hidden="false" customHeight="false" outlineLevel="0" collapsed="false">
      <c r="A32" s="7" t="s">
        <v>422</v>
      </c>
      <c r="B32" s="7" t="s">
        <v>393</v>
      </c>
      <c r="C32" s="7" t="s">
        <v>126</v>
      </c>
      <c r="D32" s="7" t="s">
        <v>423</v>
      </c>
      <c r="E32" s="7" t="s">
        <v>424</v>
      </c>
      <c r="F32" s="7" t="s">
        <v>425</v>
      </c>
      <c r="G32" s="7" t="s">
        <v>426</v>
      </c>
      <c r="H32" s="7" t="s">
        <v>92</v>
      </c>
      <c r="I32" s="7" t="s">
        <v>93</v>
      </c>
      <c r="J32" s="7" t="s">
        <v>427</v>
      </c>
      <c r="K32" s="7" t="s">
        <v>281</v>
      </c>
      <c r="L32" s="7" t="s">
        <v>409</v>
      </c>
      <c r="M32" s="7" t="s">
        <v>428</v>
      </c>
      <c r="N32" s="7" t="s">
        <v>429</v>
      </c>
      <c r="O32" s="7" t="s">
        <v>430</v>
      </c>
      <c r="P32" s="7" t="s">
        <v>158</v>
      </c>
      <c r="Q32" s="7" t="s">
        <v>101</v>
      </c>
      <c r="R32" s="7" t="s">
        <v>272</v>
      </c>
      <c r="S32" s="7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customFormat="false" ht="35.05" hidden="false" customHeight="false" outlineLevel="0" collapsed="false">
      <c r="A33" s="10" t="s">
        <v>431</v>
      </c>
      <c r="B33" s="10" t="s">
        <v>393</v>
      </c>
      <c r="C33" s="10" t="s">
        <v>137</v>
      </c>
      <c r="D33" s="10" t="s">
        <v>432</v>
      </c>
      <c r="E33" s="10" t="s">
        <v>433</v>
      </c>
      <c r="F33" s="10" t="s">
        <v>434</v>
      </c>
      <c r="G33" s="10" t="s">
        <v>435</v>
      </c>
      <c r="H33" s="10" t="s">
        <v>92</v>
      </c>
      <c r="I33" s="10" t="s">
        <v>93</v>
      </c>
      <c r="J33" s="10" t="s">
        <v>436</v>
      </c>
      <c r="K33" s="10" t="s">
        <v>281</v>
      </c>
      <c r="L33" s="10" t="s">
        <v>409</v>
      </c>
      <c r="M33" s="10" t="s">
        <v>437</v>
      </c>
      <c r="N33" s="10" t="s">
        <v>409</v>
      </c>
      <c r="O33" s="10" t="s">
        <v>438</v>
      </c>
      <c r="P33" s="10" t="s">
        <v>333</v>
      </c>
      <c r="Q33" s="10" t="s">
        <v>346</v>
      </c>
      <c r="R33" s="10" t="s">
        <v>272</v>
      </c>
      <c r="S33" s="10" t="s">
        <v>439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customFormat="false" ht="46.25" hidden="false" customHeight="false" outlineLevel="0" collapsed="false">
      <c r="A34" s="7" t="s">
        <v>440</v>
      </c>
      <c r="B34" s="7" t="s">
        <v>441</v>
      </c>
      <c r="C34" s="7" t="s">
        <v>87</v>
      </c>
      <c r="D34" s="7" t="s">
        <v>442</v>
      </c>
      <c r="E34" s="7" t="s">
        <v>443</v>
      </c>
      <c r="F34" s="7" t="s">
        <v>444</v>
      </c>
      <c r="G34" s="7" t="s">
        <v>445</v>
      </c>
      <c r="H34" s="7" t="s">
        <v>92</v>
      </c>
      <c r="I34" s="7" t="s">
        <v>93</v>
      </c>
      <c r="J34" s="7" t="s">
        <v>446</v>
      </c>
      <c r="K34" s="7" t="s">
        <v>447</v>
      </c>
      <c r="L34" s="7" t="s">
        <v>448</v>
      </c>
      <c r="M34" s="7" t="s">
        <v>449</v>
      </c>
      <c r="N34" s="7" t="s">
        <v>450</v>
      </c>
      <c r="O34" s="7" t="s">
        <v>451</v>
      </c>
      <c r="P34" s="7" t="s">
        <v>100</v>
      </c>
      <c r="Q34" s="7" t="s">
        <v>101</v>
      </c>
      <c r="R34" s="7" t="s">
        <v>102</v>
      </c>
      <c r="S34" s="7" t="s">
        <v>452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customFormat="false" ht="23.85" hidden="false" customHeight="false" outlineLevel="0" collapsed="false">
      <c r="A35" s="7" t="s">
        <v>453</v>
      </c>
      <c r="B35" s="7" t="s">
        <v>441</v>
      </c>
      <c r="C35" s="7" t="s">
        <v>104</v>
      </c>
      <c r="D35" s="7" t="s">
        <v>454</v>
      </c>
      <c r="E35" s="7" t="s">
        <v>455</v>
      </c>
      <c r="F35" s="7" t="s">
        <v>456</v>
      </c>
      <c r="G35" s="7" t="s">
        <v>457</v>
      </c>
      <c r="H35" s="7" t="s">
        <v>92</v>
      </c>
      <c r="I35" s="7" t="s">
        <v>93</v>
      </c>
      <c r="J35" s="7" t="s">
        <v>458</v>
      </c>
      <c r="K35" s="7" t="s">
        <v>281</v>
      </c>
      <c r="L35" s="7" t="s">
        <v>409</v>
      </c>
      <c r="M35" s="7" t="s">
        <v>459</v>
      </c>
      <c r="N35" s="7" t="s">
        <v>460</v>
      </c>
      <c r="O35" s="7" t="s">
        <v>461</v>
      </c>
      <c r="P35" s="7" t="s">
        <v>333</v>
      </c>
      <c r="Q35" s="7" t="s">
        <v>101</v>
      </c>
      <c r="R35" s="7" t="s">
        <v>272</v>
      </c>
      <c r="S35" s="7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customFormat="false" ht="35.05" hidden="false" customHeight="false" outlineLevel="0" collapsed="false">
      <c r="A36" s="7" t="s">
        <v>462</v>
      </c>
      <c r="B36" s="7" t="s">
        <v>441</v>
      </c>
      <c r="C36" s="7" t="s">
        <v>115</v>
      </c>
      <c r="D36" s="7" t="s">
        <v>463</v>
      </c>
      <c r="E36" s="7" t="s">
        <v>464</v>
      </c>
      <c r="F36" s="7" t="s">
        <v>465</v>
      </c>
      <c r="G36" s="7" t="s">
        <v>466</v>
      </c>
      <c r="H36" s="7" t="s">
        <v>92</v>
      </c>
      <c r="I36" s="7" t="s">
        <v>93</v>
      </c>
      <c r="J36" s="7" t="s">
        <v>467</v>
      </c>
      <c r="K36" s="7" t="s">
        <v>468</v>
      </c>
      <c r="L36" s="7" t="s">
        <v>469</v>
      </c>
      <c r="M36" s="7" t="s">
        <v>470</v>
      </c>
      <c r="N36" s="7" t="s">
        <v>471</v>
      </c>
      <c r="O36" s="7" t="s">
        <v>472</v>
      </c>
      <c r="P36" s="7" t="s">
        <v>158</v>
      </c>
      <c r="Q36" s="7" t="s">
        <v>101</v>
      </c>
      <c r="R36" s="7" t="s">
        <v>102</v>
      </c>
      <c r="S36" s="7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customFormat="false" ht="23.85" hidden="false" customHeight="false" outlineLevel="0" collapsed="false">
      <c r="A37" s="7" t="s">
        <v>473</v>
      </c>
      <c r="B37" s="7" t="s">
        <v>441</v>
      </c>
      <c r="C37" s="7" t="s">
        <v>126</v>
      </c>
      <c r="D37" s="7" t="s">
        <v>474</v>
      </c>
      <c r="E37" s="7" t="s">
        <v>475</v>
      </c>
      <c r="F37" s="7" t="s">
        <v>476</v>
      </c>
      <c r="G37" s="7" t="s">
        <v>477</v>
      </c>
      <c r="H37" s="7" t="s">
        <v>92</v>
      </c>
      <c r="I37" s="7" t="s">
        <v>93</v>
      </c>
      <c r="J37" s="7" t="s">
        <v>478</v>
      </c>
      <c r="K37" s="7" t="s">
        <v>281</v>
      </c>
      <c r="L37" s="7" t="s">
        <v>409</v>
      </c>
      <c r="M37" s="7" t="s">
        <v>479</v>
      </c>
      <c r="N37" s="7" t="s">
        <v>480</v>
      </c>
      <c r="O37" s="7" t="s">
        <v>481</v>
      </c>
      <c r="P37" s="7" t="s">
        <v>333</v>
      </c>
      <c r="Q37" s="7" t="s">
        <v>101</v>
      </c>
      <c r="R37" s="7" t="s">
        <v>272</v>
      </c>
      <c r="S37" s="7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customFormat="false" ht="35.05" hidden="false" customHeight="false" outlineLevel="0" collapsed="false">
      <c r="A38" s="7" t="s">
        <v>482</v>
      </c>
      <c r="B38" s="7" t="s">
        <v>441</v>
      </c>
      <c r="C38" s="7" t="s">
        <v>137</v>
      </c>
      <c r="D38" s="7" t="s">
        <v>483</v>
      </c>
      <c r="E38" s="7" t="s">
        <v>484</v>
      </c>
      <c r="F38" s="7" t="s">
        <v>485</v>
      </c>
      <c r="G38" s="7" t="s">
        <v>486</v>
      </c>
      <c r="H38" s="7" t="s">
        <v>92</v>
      </c>
      <c r="I38" s="7" t="s">
        <v>93</v>
      </c>
      <c r="J38" s="7" t="s">
        <v>487</v>
      </c>
      <c r="K38" s="7" t="s">
        <v>488</v>
      </c>
      <c r="L38" s="7" t="s">
        <v>448</v>
      </c>
      <c r="M38" s="7" t="s">
        <v>489</v>
      </c>
      <c r="N38" s="7" t="s">
        <v>490</v>
      </c>
      <c r="O38" s="7" t="s">
        <v>491</v>
      </c>
      <c r="P38" s="7" t="s">
        <v>158</v>
      </c>
      <c r="Q38" s="7" t="s">
        <v>101</v>
      </c>
      <c r="R38" s="7" t="s">
        <v>102</v>
      </c>
      <c r="S38" s="7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customFormat="false" ht="46.25" hidden="false" customHeight="false" outlineLevel="0" collapsed="false">
      <c r="A39" s="7" t="s">
        <v>492</v>
      </c>
      <c r="B39" s="7" t="s">
        <v>441</v>
      </c>
      <c r="C39" s="7" t="s">
        <v>200</v>
      </c>
      <c r="D39" s="7" t="s">
        <v>493</v>
      </c>
      <c r="E39" s="7" t="s">
        <v>494</v>
      </c>
      <c r="F39" s="7" t="s">
        <v>495</v>
      </c>
      <c r="G39" s="7" t="s">
        <v>496</v>
      </c>
      <c r="H39" s="7" t="s">
        <v>92</v>
      </c>
      <c r="I39" s="7" t="s">
        <v>93</v>
      </c>
      <c r="J39" s="7" t="s">
        <v>497</v>
      </c>
      <c r="K39" s="7" t="s">
        <v>498</v>
      </c>
      <c r="L39" s="7" t="s">
        <v>499</v>
      </c>
      <c r="M39" s="7" t="s">
        <v>500</v>
      </c>
      <c r="N39" s="7" t="s">
        <v>501</v>
      </c>
      <c r="O39" s="7" t="s">
        <v>502</v>
      </c>
      <c r="P39" s="7" t="s">
        <v>100</v>
      </c>
      <c r="Q39" s="7" t="s">
        <v>101</v>
      </c>
      <c r="R39" s="7" t="s">
        <v>102</v>
      </c>
      <c r="S39" s="7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customFormat="false" ht="23.85" hidden="false" customHeight="false" outlineLevel="0" collapsed="false">
      <c r="A40" s="7" t="s">
        <v>503</v>
      </c>
      <c r="B40" s="7" t="s">
        <v>441</v>
      </c>
      <c r="C40" s="7" t="s">
        <v>210</v>
      </c>
      <c r="D40" s="7" t="s">
        <v>504</v>
      </c>
      <c r="E40" s="7" t="s">
        <v>505</v>
      </c>
      <c r="F40" s="7" t="s">
        <v>506</v>
      </c>
      <c r="G40" s="7" t="s">
        <v>507</v>
      </c>
      <c r="H40" s="7" t="s">
        <v>92</v>
      </c>
      <c r="I40" s="7" t="s">
        <v>327</v>
      </c>
      <c r="J40" s="7" t="s">
        <v>508</v>
      </c>
      <c r="K40" s="7" t="s">
        <v>281</v>
      </c>
      <c r="L40" s="7" t="s">
        <v>409</v>
      </c>
      <c r="M40" s="7" t="s">
        <v>509</v>
      </c>
      <c r="N40" s="7" t="s">
        <v>510</v>
      </c>
      <c r="O40" s="7" t="s">
        <v>511</v>
      </c>
      <c r="P40" s="7" t="s">
        <v>333</v>
      </c>
      <c r="Q40" s="7" t="s">
        <v>101</v>
      </c>
      <c r="R40" s="7" t="s">
        <v>272</v>
      </c>
      <c r="S40" s="7" t="s">
        <v>512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customFormat="false" ht="23.85" hidden="false" customHeight="false" outlineLevel="0" collapsed="false">
      <c r="A41" s="9" t="s">
        <v>513</v>
      </c>
      <c r="B41" s="9" t="s">
        <v>441</v>
      </c>
      <c r="C41" s="9" t="s">
        <v>220</v>
      </c>
      <c r="D41" s="9" t="s">
        <v>514</v>
      </c>
      <c r="E41" s="9" t="s">
        <v>515</v>
      </c>
      <c r="F41" s="9" t="s">
        <v>516</v>
      </c>
      <c r="G41" s="9" t="s">
        <v>517</v>
      </c>
      <c r="H41" s="9" t="s">
        <v>92</v>
      </c>
      <c r="I41" s="9" t="s">
        <v>93</v>
      </c>
      <c r="J41" s="9" t="s">
        <v>518</v>
      </c>
      <c r="K41" s="9" t="s">
        <v>519</v>
      </c>
      <c r="L41" s="9" t="s">
        <v>520</v>
      </c>
      <c r="M41" s="9" t="s">
        <v>521</v>
      </c>
      <c r="N41" s="9" t="s">
        <v>522</v>
      </c>
      <c r="O41" s="9" t="s">
        <v>169</v>
      </c>
      <c r="P41" s="9" t="s">
        <v>333</v>
      </c>
      <c r="Q41" s="9" t="s">
        <v>159</v>
      </c>
      <c r="R41" s="9" t="s">
        <v>272</v>
      </c>
      <c r="S41" s="9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customFormat="false" ht="46.25" hidden="false" customHeight="false" outlineLevel="0" collapsed="false">
      <c r="A42" s="7" t="s">
        <v>523</v>
      </c>
      <c r="B42" s="7" t="s">
        <v>524</v>
      </c>
      <c r="C42" s="7" t="s">
        <v>87</v>
      </c>
      <c r="D42" s="7" t="s">
        <v>525</v>
      </c>
      <c r="E42" s="7" t="s">
        <v>526</v>
      </c>
      <c r="F42" s="7" t="s">
        <v>527</v>
      </c>
      <c r="G42" s="7" t="s">
        <v>528</v>
      </c>
      <c r="H42" s="7" t="s">
        <v>92</v>
      </c>
      <c r="I42" s="7" t="s">
        <v>93</v>
      </c>
      <c r="J42" s="7" t="s">
        <v>529</v>
      </c>
      <c r="K42" s="7" t="s">
        <v>530</v>
      </c>
      <c r="L42" s="7" t="s">
        <v>409</v>
      </c>
      <c r="M42" s="7" t="s">
        <v>531</v>
      </c>
      <c r="N42" s="7" t="s">
        <v>532</v>
      </c>
      <c r="O42" s="7" t="s">
        <v>533</v>
      </c>
      <c r="P42" s="7" t="s">
        <v>100</v>
      </c>
      <c r="Q42" s="7" t="s">
        <v>101</v>
      </c>
      <c r="R42" s="7" t="s">
        <v>102</v>
      </c>
      <c r="S42" s="7" t="s">
        <v>534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customFormat="false" ht="23.85" hidden="false" customHeight="false" outlineLevel="0" collapsed="false">
      <c r="A43" s="7" t="s">
        <v>535</v>
      </c>
      <c r="B43" s="7" t="s">
        <v>524</v>
      </c>
      <c r="C43" s="7" t="s">
        <v>104</v>
      </c>
      <c r="D43" s="7" t="s">
        <v>536</v>
      </c>
      <c r="E43" s="7" t="s">
        <v>537</v>
      </c>
      <c r="F43" s="7" t="s">
        <v>538</v>
      </c>
      <c r="G43" s="7" t="s">
        <v>539</v>
      </c>
      <c r="H43" s="7" t="s">
        <v>92</v>
      </c>
      <c r="I43" s="7" t="s">
        <v>93</v>
      </c>
      <c r="J43" s="7" t="s">
        <v>540</v>
      </c>
      <c r="K43" s="7" t="s">
        <v>541</v>
      </c>
      <c r="L43" s="7" t="s">
        <v>409</v>
      </c>
      <c r="M43" s="7" t="s">
        <v>542</v>
      </c>
      <c r="N43" s="7" t="s">
        <v>543</v>
      </c>
      <c r="O43" s="7" t="s">
        <v>544</v>
      </c>
      <c r="P43" s="7" t="s">
        <v>333</v>
      </c>
      <c r="Q43" s="7" t="s">
        <v>101</v>
      </c>
      <c r="R43" s="7" t="s">
        <v>102</v>
      </c>
      <c r="S43" s="7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customFormat="false" ht="35.05" hidden="false" customHeight="false" outlineLevel="0" collapsed="false">
      <c r="A44" s="7" t="s">
        <v>545</v>
      </c>
      <c r="B44" s="7" t="s">
        <v>524</v>
      </c>
      <c r="C44" s="7" t="s">
        <v>115</v>
      </c>
      <c r="D44" s="7" t="s">
        <v>546</v>
      </c>
      <c r="E44" s="7" t="s">
        <v>547</v>
      </c>
      <c r="F44" s="7" t="s">
        <v>548</v>
      </c>
      <c r="G44" s="7" t="s">
        <v>549</v>
      </c>
      <c r="H44" s="7" t="s">
        <v>92</v>
      </c>
      <c r="I44" s="7" t="s">
        <v>93</v>
      </c>
      <c r="J44" s="7" t="s">
        <v>550</v>
      </c>
      <c r="K44" s="7" t="s">
        <v>551</v>
      </c>
      <c r="L44" s="7" t="s">
        <v>552</v>
      </c>
      <c r="M44" s="7" t="s">
        <v>553</v>
      </c>
      <c r="N44" s="7" t="s">
        <v>554</v>
      </c>
      <c r="O44" s="7" t="s">
        <v>555</v>
      </c>
      <c r="P44" s="7" t="s">
        <v>100</v>
      </c>
      <c r="Q44" s="7" t="s">
        <v>101</v>
      </c>
      <c r="R44" s="7" t="s">
        <v>102</v>
      </c>
      <c r="S44" s="7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customFormat="false" ht="35.05" hidden="false" customHeight="false" outlineLevel="0" collapsed="false">
      <c r="A45" s="7" t="s">
        <v>556</v>
      </c>
      <c r="B45" s="7" t="s">
        <v>524</v>
      </c>
      <c r="C45" s="7" t="s">
        <v>126</v>
      </c>
      <c r="D45" s="7" t="s">
        <v>557</v>
      </c>
      <c r="E45" s="7" t="s">
        <v>558</v>
      </c>
      <c r="F45" s="7" t="s">
        <v>559</v>
      </c>
      <c r="G45" s="7" t="s">
        <v>560</v>
      </c>
      <c r="H45" s="7" t="s">
        <v>92</v>
      </c>
      <c r="I45" s="7" t="s">
        <v>93</v>
      </c>
      <c r="J45" s="7" t="s">
        <v>561</v>
      </c>
      <c r="K45" s="7" t="s">
        <v>562</v>
      </c>
      <c r="L45" s="7" t="s">
        <v>96</v>
      </c>
      <c r="M45" s="7" t="s">
        <v>563</v>
      </c>
      <c r="N45" s="7" t="s">
        <v>564</v>
      </c>
      <c r="O45" s="7" t="s">
        <v>565</v>
      </c>
      <c r="P45" s="7" t="s">
        <v>100</v>
      </c>
      <c r="Q45" s="7" t="s">
        <v>101</v>
      </c>
      <c r="R45" s="7" t="s">
        <v>102</v>
      </c>
      <c r="S45" s="7" t="s">
        <v>566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customFormat="false" ht="23.85" hidden="false" customHeight="false" outlineLevel="0" collapsed="false">
      <c r="A46" s="7" t="s">
        <v>567</v>
      </c>
      <c r="B46" s="7" t="s">
        <v>524</v>
      </c>
      <c r="C46" s="7" t="s">
        <v>137</v>
      </c>
      <c r="D46" s="7" t="s">
        <v>568</v>
      </c>
      <c r="E46" s="7" t="s">
        <v>569</v>
      </c>
      <c r="F46" s="7" t="s">
        <v>570</v>
      </c>
      <c r="G46" s="7" t="s">
        <v>571</v>
      </c>
      <c r="H46" s="7" t="s">
        <v>92</v>
      </c>
      <c r="I46" s="7" t="s">
        <v>93</v>
      </c>
      <c r="J46" s="7" t="s">
        <v>572</v>
      </c>
      <c r="K46" s="7" t="s">
        <v>281</v>
      </c>
      <c r="L46" s="7" t="s">
        <v>409</v>
      </c>
      <c r="M46" s="7" t="s">
        <v>573</v>
      </c>
      <c r="N46" s="7" t="s">
        <v>574</v>
      </c>
      <c r="O46" s="7" t="s">
        <v>575</v>
      </c>
      <c r="P46" s="7" t="s">
        <v>158</v>
      </c>
      <c r="Q46" s="7" t="s">
        <v>101</v>
      </c>
      <c r="R46" s="7" t="s">
        <v>272</v>
      </c>
      <c r="S46" s="7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customFormat="false" ht="35.05" hidden="false" customHeight="false" outlineLevel="0" collapsed="false">
      <c r="A47" s="7" t="s">
        <v>576</v>
      </c>
      <c r="B47" s="7" t="s">
        <v>524</v>
      </c>
      <c r="C47" s="7" t="s">
        <v>200</v>
      </c>
      <c r="D47" s="7" t="s">
        <v>577</v>
      </c>
      <c r="E47" s="7" t="s">
        <v>578</v>
      </c>
      <c r="F47" s="7" t="s">
        <v>579</v>
      </c>
      <c r="G47" s="7" t="s">
        <v>580</v>
      </c>
      <c r="H47" s="7" t="s">
        <v>92</v>
      </c>
      <c r="I47" s="7" t="s">
        <v>93</v>
      </c>
      <c r="J47" s="7" t="s">
        <v>581</v>
      </c>
      <c r="K47" s="7" t="s">
        <v>281</v>
      </c>
      <c r="L47" s="7" t="s">
        <v>409</v>
      </c>
      <c r="M47" s="7" t="s">
        <v>582</v>
      </c>
      <c r="N47" s="7" t="s">
        <v>583</v>
      </c>
      <c r="O47" s="7" t="s">
        <v>169</v>
      </c>
      <c r="P47" s="7" t="s">
        <v>158</v>
      </c>
      <c r="Q47" s="7" t="s">
        <v>101</v>
      </c>
      <c r="R47" s="7" t="s">
        <v>272</v>
      </c>
      <c r="S47" s="7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customFormat="false" ht="35.05" hidden="false" customHeight="false" outlineLevel="0" collapsed="false">
      <c r="A48" s="7" t="s">
        <v>584</v>
      </c>
      <c r="B48" s="7" t="s">
        <v>524</v>
      </c>
      <c r="C48" s="7" t="s">
        <v>210</v>
      </c>
      <c r="D48" s="7" t="s">
        <v>585</v>
      </c>
      <c r="E48" s="7" t="s">
        <v>586</v>
      </c>
      <c r="F48" s="7" t="s">
        <v>587</v>
      </c>
      <c r="G48" s="7" t="s">
        <v>588</v>
      </c>
      <c r="H48" s="7" t="s">
        <v>92</v>
      </c>
      <c r="I48" s="7" t="s">
        <v>93</v>
      </c>
      <c r="J48" s="7" t="s">
        <v>589</v>
      </c>
      <c r="K48" s="7" t="s">
        <v>281</v>
      </c>
      <c r="L48" s="7" t="s">
        <v>409</v>
      </c>
      <c r="M48" s="7" t="s">
        <v>590</v>
      </c>
      <c r="N48" s="7" t="s">
        <v>591</v>
      </c>
      <c r="O48" s="7" t="s">
        <v>592</v>
      </c>
      <c r="P48" s="7" t="s">
        <v>100</v>
      </c>
      <c r="Q48" s="7" t="s">
        <v>101</v>
      </c>
      <c r="R48" s="7" t="s">
        <v>272</v>
      </c>
      <c r="S48" s="7" t="s">
        <v>593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customFormat="false" ht="35.05" hidden="false" customHeight="false" outlineLevel="0" collapsed="false">
      <c r="A49" s="9" t="s">
        <v>594</v>
      </c>
      <c r="B49" s="9" t="s">
        <v>595</v>
      </c>
      <c r="C49" s="9" t="s">
        <v>87</v>
      </c>
      <c r="D49" s="9" t="s">
        <v>596</v>
      </c>
      <c r="E49" s="9" t="s">
        <v>597</v>
      </c>
      <c r="F49" s="9" t="s">
        <v>598</v>
      </c>
      <c r="G49" s="9" t="s">
        <v>599</v>
      </c>
      <c r="H49" s="9" t="s">
        <v>92</v>
      </c>
      <c r="I49" s="9" t="s">
        <v>93</v>
      </c>
      <c r="J49" s="9" t="s">
        <v>600</v>
      </c>
      <c r="K49" s="9" t="s">
        <v>601</v>
      </c>
      <c r="L49" s="9" t="s">
        <v>375</v>
      </c>
      <c r="M49" s="9" t="s">
        <v>602</v>
      </c>
      <c r="N49" s="9" t="s">
        <v>603</v>
      </c>
      <c r="O49" s="9" t="s">
        <v>169</v>
      </c>
      <c r="P49" s="9" t="s">
        <v>333</v>
      </c>
      <c r="Q49" s="9" t="s">
        <v>188</v>
      </c>
      <c r="R49" s="9" t="s">
        <v>102</v>
      </c>
      <c r="S49" s="9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customFormat="false" ht="23.85" hidden="false" customHeight="false" outlineLevel="0" collapsed="false">
      <c r="A50" s="7" t="s">
        <v>604</v>
      </c>
      <c r="B50" s="7" t="s">
        <v>595</v>
      </c>
      <c r="C50" s="7" t="s">
        <v>104</v>
      </c>
      <c r="D50" s="7" t="s">
        <v>605</v>
      </c>
      <c r="E50" s="7" t="s">
        <v>606</v>
      </c>
      <c r="F50" s="7" t="s">
        <v>607</v>
      </c>
      <c r="G50" s="7" t="s">
        <v>608</v>
      </c>
      <c r="H50" s="7" t="s">
        <v>92</v>
      </c>
      <c r="I50" s="7" t="s">
        <v>93</v>
      </c>
      <c r="J50" s="7" t="s">
        <v>609</v>
      </c>
      <c r="K50" s="7" t="s">
        <v>610</v>
      </c>
      <c r="L50" s="7" t="s">
        <v>96</v>
      </c>
      <c r="M50" s="7" t="s">
        <v>611</v>
      </c>
      <c r="N50" s="7" t="s">
        <v>612</v>
      </c>
      <c r="O50" s="7" t="s">
        <v>613</v>
      </c>
      <c r="P50" s="7" t="s">
        <v>100</v>
      </c>
      <c r="Q50" s="7" t="s">
        <v>101</v>
      </c>
      <c r="R50" s="7" t="s">
        <v>102</v>
      </c>
      <c r="S50" s="7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customFormat="false" ht="23.85" hidden="false" customHeight="false" outlineLevel="0" collapsed="false">
      <c r="A51" s="9" t="s">
        <v>614</v>
      </c>
      <c r="B51" s="9" t="s">
        <v>595</v>
      </c>
      <c r="C51" s="9" t="s">
        <v>115</v>
      </c>
      <c r="D51" s="9" t="s">
        <v>615</v>
      </c>
      <c r="E51" s="9" t="s">
        <v>616</v>
      </c>
      <c r="F51" s="9" t="s">
        <v>617</v>
      </c>
      <c r="G51" s="9" t="s">
        <v>618</v>
      </c>
      <c r="H51" s="9" t="s">
        <v>92</v>
      </c>
      <c r="I51" s="9" t="s">
        <v>93</v>
      </c>
      <c r="J51" s="9" t="s">
        <v>619</v>
      </c>
      <c r="K51" s="9" t="s">
        <v>620</v>
      </c>
      <c r="L51" s="9" t="s">
        <v>96</v>
      </c>
      <c r="M51" s="9" t="s">
        <v>621</v>
      </c>
      <c r="N51" s="9" t="s">
        <v>622</v>
      </c>
      <c r="O51" s="9" t="s">
        <v>623</v>
      </c>
      <c r="P51" s="9" t="s">
        <v>158</v>
      </c>
      <c r="Q51" s="9" t="s">
        <v>188</v>
      </c>
      <c r="R51" s="9" t="s">
        <v>102</v>
      </c>
      <c r="S51" s="9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customFormat="false" ht="35.05" hidden="false" customHeight="false" outlineLevel="0" collapsed="false">
      <c r="A52" s="7" t="s">
        <v>624</v>
      </c>
      <c r="B52" s="7" t="s">
        <v>595</v>
      </c>
      <c r="C52" s="7" t="s">
        <v>126</v>
      </c>
      <c r="D52" s="7" t="s">
        <v>625</v>
      </c>
      <c r="E52" s="7" t="s">
        <v>626</v>
      </c>
      <c r="F52" s="7" t="s">
        <v>627</v>
      </c>
      <c r="G52" s="7" t="s">
        <v>628</v>
      </c>
      <c r="H52" s="7" t="s">
        <v>92</v>
      </c>
      <c r="I52" s="7" t="s">
        <v>93</v>
      </c>
      <c r="J52" s="7" t="s">
        <v>629</v>
      </c>
      <c r="K52" s="7" t="s">
        <v>630</v>
      </c>
      <c r="L52" s="7" t="s">
        <v>631</v>
      </c>
      <c r="M52" s="7" t="s">
        <v>632</v>
      </c>
      <c r="N52" s="7" t="s">
        <v>633</v>
      </c>
      <c r="O52" s="7" t="s">
        <v>634</v>
      </c>
      <c r="P52" s="7" t="s">
        <v>100</v>
      </c>
      <c r="Q52" s="7" t="s">
        <v>101</v>
      </c>
      <c r="R52" s="7" t="s">
        <v>102</v>
      </c>
      <c r="S52" s="7" t="s">
        <v>635</v>
      </c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customFormat="false" ht="57.45" hidden="false" customHeight="false" outlineLevel="0" collapsed="false">
      <c r="A53" s="7" t="s">
        <v>636</v>
      </c>
      <c r="B53" s="7" t="s">
        <v>637</v>
      </c>
      <c r="C53" s="7" t="s">
        <v>87</v>
      </c>
      <c r="D53" s="7" t="s">
        <v>638</v>
      </c>
      <c r="E53" s="7" t="s">
        <v>639</v>
      </c>
      <c r="F53" s="7" t="s">
        <v>640</v>
      </c>
      <c r="G53" s="7" t="s">
        <v>641</v>
      </c>
      <c r="H53" s="7" t="s">
        <v>92</v>
      </c>
      <c r="I53" s="7" t="s">
        <v>93</v>
      </c>
      <c r="J53" s="7" t="s">
        <v>642</v>
      </c>
      <c r="K53" s="7" t="s">
        <v>643</v>
      </c>
      <c r="L53" s="7" t="s">
        <v>409</v>
      </c>
      <c r="M53" s="7" t="s">
        <v>644</v>
      </c>
      <c r="N53" s="7" t="s">
        <v>645</v>
      </c>
      <c r="O53" s="7" t="s">
        <v>646</v>
      </c>
      <c r="P53" s="7" t="s">
        <v>158</v>
      </c>
      <c r="Q53" s="7" t="s">
        <v>101</v>
      </c>
      <c r="R53" s="7" t="s">
        <v>102</v>
      </c>
      <c r="S53" s="7" t="s">
        <v>534</v>
      </c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5" t="s">
        <v>647</v>
      </c>
      <c r="B1" s="5" t="s">
        <v>648</v>
      </c>
      <c r="C1" s="5" t="s">
        <v>649</v>
      </c>
    </row>
    <row r="2" customFormat="false" ht="15" hidden="false" customHeight="false" outlineLevel="0" collapsed="false">
      <c r="A2" s="6" t="s">
        <v>650</v>
      </c>
      <c r="B2" s="6" t="n">
        <f aca="false">COUNTA(Incidents!A2:A53)</f>
        <v>52</v>
      </c>
      <c r="C2" s="6"/>
    </row>
    <row r="3" customFormat="false" ht="15" hidden="false" customHeight="false" outlineLevel="0" collapsed="false">
      <c r="A3" s="6" t="s">
        <v>651</v>
      </c>
      <c r="B3" s="6" t="n">
        <f aca="false">COUNTIF(Incidents!AC2:AC53,"CONFIRMED")</f>
        <v>0</v>
      </c>
      <c r="C3" s="6" t="s">
        <v>652</v>
      </c>
    </row>
    <row r="4" customFormat="false" ht="15" hidden="false" customHeight="false" outlineLevel="0" collapsed="false">
      <c r="A4" s="6" t="s">
        <v>653</v>
      </c>
      <c r="B4" s="6" t="n">
        <f aca="false">COUNTIF(Incidents!T2:T53,"INTENT")</f>
        <v>0</v>
      </c>
      <c r="C4" s="6" t="s">
        <v>654</v>
      </c>
    </row>
    <row r="5" customFormat="false" ht="15" hidden="false" customHeight="false" outlineLevel="0" collapsed="false">
      <c r="A5" s="6" t="s">
        <v>655</v>
      </c>
      <c r="B5" s="6" t="n">
        <f aca="false">COUNTIF(Incidents!T2:T53,"COMPETENCE")</f>
        <v>0</v>
      </c>
      <c r="C5" s="6" t="s">
        <v>656</v>
      </c>
    </row>
    <row r="6" customFormat="false" ht="15" hidden="false" customHeight="false" outlineLevel="0" collapsed="false">
      <c r="A6" s="6" t="s">
        <v>657</v>
      </c>
      <c r="B6" s="6" t="n">
        <f aca="false">COUNTIF(Incidents!T2:T53,"PREMISE")</f>
        <v>0</v>
      </c>
      <c r="C6" s="6" t="s">
        <v>656</v>
      </c>
    </row>
    <row r="7" customFormat="false" ht="15" hidden="false" customHeight="false" outlineLevel="0" collapsed="false">
      <c r="A7" s="6" t="s">
        <v>658</v>
      </c>
      <c r="B7" s="6" t="n">
        <f aca="false">COUNTIF(Incidents!T2:T53,"META")</f>
        <v>0</v>
      </c>
      <c r="C7" s="6" t="s">
        <v>659</v>
      </c>
    </row>
    <row r="8" customFormat="false" ht="15" hidden="false" customHeight="false" outlineLevel="0" collapsed="false">
      <c r="A8" s="6" t="s">
        <v>660</v>
      </c>
      <c r="B8" s="6" t="n">
        <f aca="false">SUMPRODUCT((Incidents!T2:T53="INTENT")*(Incidents!H2:H53="NO"))</f>
        <v>0</v>
      </c>
      <c r="C8" s="6" t="s">
        <v>661</v>
      </c>
    </row>
    <row r="9" customFormat="false" ht="15" hidden="false" customHeight="false" outlineLevel="0" collapsed="false">
      <c r="A9" s="6" t="s">
        <v>662</v>
      </c>
      <c r="B9" s="6" t="n">
        <f aca="false">COUNTIF(Incidents!I2:I53,"DISCLOSED-PROCEED")+COUNTIF(Incidents!I2:I53,"DISCLOSED-WAIT")</f>
        <v>2</v>
      </c>
      <c r="C9" s="6" t="s">
        <v>663</v>
      </c>
    </row>
    <row r="10" customFormat="false" ht="15" hidden="false" customHeight="false" outlineLevel="0" collapsed="false">
      <c r="A10" s="6" t="s">
        <v>664</v>
      </c>
      <c r="B10" s="6" t="n">
        <f aca="false">COUNTIF(Incidents!R2:R53,"BENIGN")</f>
        <v>20</v>
      </c>
      <c r="C10" s="6" t="s">
        <v>665</v>
      </c>
    </row>
    <row r="11" customFormat="false" ht="15" hidden="false" customHeight="false" outlineLevel="0" collapsed="false">
      <c r="A11" s="6" t="s">
        <v>666</v>
      </c>
      <c r="B11" s="6" t="n">
        <f aca="false">COUNTIF(Incidents!R2:R53,"HARMFUL")</f>
        <v>31</v>
      </c>
      <c r="C11" s="6"/>
    </row>
    <row r="12" customFormat="false" ht="15" hidden="false" customHeight="false" outlineLevel="0" collapsed="false">
      <c r="A12" s="6" t="s">
        <v>667</v>
      </c>
      <c r="B12" s="6" t="n">
        <f aca="false">COUNTIF(Incidents!V2:V53,"MATERIAL")</f>
        <v>0</v>
      </c>
      <c r="C12" s="6" t="s">
        <v>668</v>
      </c>
    </row>
    <row r="13" customFormat="false" ht="15" hidden="false" customHeight="false" outlineLevel="0" collapsed="false">
      <c r="A13" s="6" t="s">
        <v>669</v>
      </c>
      <c r="B13" s="6" t="n">
        <f aca="false">COUNTIF(Incidents!AB2:AB53,"YES")</f>
        <v>0</v>
      </c>
      <c r="C13" s="6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2026-07-30T04:12:52Z</dcterms:created>
  <dc:creator>openpyxl</dc:creator>
  <dc:description/>
  <dc:language>en-US</dc:language>
  <cp:lastModifiedBy/>
  <dcterms:modified xsi:type="dcterms:W3CDTF">2026-07-30T04:12:52Z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